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PL Base (Conservador)" sheetId="2" state="visible" r:id="rId4"/>
    <sheet name="PL Optimista" sheetId="3" state="visible" r:id="rId5"/>
    <sheet name="Comparació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<sst xmlns="http://schemas.openxmlformats.org/spreadsheetml/2006/main" count="193" uniqueCount="129">
  <si>
    <t xml:space="preserve">MASTERING READY - MODELO FINANCIERO v2</t>
  </si>
  <si>
    <t xml:space="preserve">Con OpEx real, Churn modelado, Escenarios Base/Optimista</t>
  </si>
  <si>
    <t xml:space="preserve">COSTOS FIJOS MENSUALES (Phase 0)</t>
  </si>
  <si>
    <t xml:space="preserve">Servicio</t>
  </si>
  <si>
    <t xml:space="preserve">Tier</t>
  </si>
  <si>
    <t xml:space="preserve">Costo MR</t>
  </si>
  <si>
    <t xml:space="preserve">Render</t>
  </si>
  <si>
    <t xml:space="preserve">Starter</t>
  </si>
  <si>
    <t xml:space="preserve">Vercel</t>
  </si>
  <si>
    <t xml:space="preserve">Pro (÷4)</t>
  </si>
  <si>
    <t xml:space="preserve">Supabase</t>
  </si>
  <si>
    <t xml:space="preserve">Free</t>
  </si>
  <si>
    <t xml:space="preserve">Domain</t>
  </si>
  <si>
    <t xml:space="preserve">Namecheap</t>
  </si>
  <si>
    <t xml:space="preserve">TOTAL COGS</t>
  </si>
  <si>
    <t xml:space="preserve">STRIPE FEES</t>
  </si>
  <si>
    <t xml:space="preserve">Porcentaje</t>
  </si>
  <si>
    <t xml:space="preserve">Fijo por transacción</t>
  </si>
  <si>
    <t xml:space="preserve">PRECIOS PROMEDIO POR TIER</t>
  </si>
  <si>
    <t xml:space="preserve">Pro Mensual</t>
  </si>
  <si>
    <t xml:space="preserve">Neto (- Stripe)</t>
  </si>
  <si>
    <t xml:space="preserve">Tier 1 (US/EU/UK avg)</t>
  </si>
  <si>
    <t xml:space="preserve">LATAM avg (Tier 2-6)</t>
  </si>
  <si>
    <t xml:space="preserve">Single</t>
  </si>
  <si>
    <t xml:space="preserve">Add-on</t>
  </si>
  <si>
    <t xml:space="preserve">CHURN RATE</t>
  </si>
  <si>
    <t xml:space="preserve">Monthly Churn Rate</t>
  </si>
  <si>
    <t xml:space="preserve">6% mensual (industry avg 5-8%)</t>
  </si>
  <si>
    <t xml:space="preserve">Retention Rate</t>
  </si>
  <si>
    <t xml:space="preserve">MARKETING BUDGET (Growth Plan)</t>
  </si>
  <si>
    <t xml:space="preserve">Mes</t>
  </si>
  <si>
    <t xml:space="preserve">Base</t>
  </si>
  <si>
    <t xml:space="preserve">Optimista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</si>
  <si>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</si>
  <si>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</si>
  <si>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</si>
  <si>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</si>
  <si>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</si>
  <si>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</si>
  <si>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</si>
  <si>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</si>
  <si>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</si>
  <si>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</si>
  <si>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</si>
  <si>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</si>
  <si>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Total Marketing</t>
  </si>
  <si>
    <t xml:space="preserve">TOOLS/SOFTWARE BUDGET</t>
  </si>
  <si>
    <t xml:space="preserve">Email Service (Resend/SendGrid)</t>
  </si>
  <si>
    <t xml:space="preserve">~$10-30/mo</t>
  </si>
  <si>
    <t xml:space="preserve">Starts Month 2 for onboarding sequences</t>
  </si>
  <si>
    <t xml:space="preserve">Base Total Tools/Año</t>
  </si>
  <si>
    <t xml:space="preserve">$0 M1, $10-20/mo M2-M12</t>
  </si>
  <si>
    <t xml:space="preserve">Optimista Total Tools/Año</t>
  </si>
  <si>
    <t xml:space="preserve">$0 M1, $15-30/mo M2-M12</t>
  </si>
  <si>
    <t xml:space="preserve">P&amp;L - ESCENARIO BASE (CONSERVADOR)</t>
  </si>
  <si>
    <t xml:space="preserve">Incluye: Churn 6% mensual, Marketing OpEx real, crecimiento conservador</t>
  </si>
  <si>
    <t xml:space="preserve">Concepto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</si>
  <si>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</si>
  <si>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</si>
  <si>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</si>
  <si>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</si>
  <si>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</si>
  <si>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</si>
  <si>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</si>
  <si>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</si>
  <si>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</si>
  <si>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</si>
  <si>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</si>
  <si>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</si>
  <si>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TOTAL</t>
  </si>
  <si>
    <t xml:space="preserve">═══ SUBSCRIBER DYNAMICS ═══</t>
  </si>
  <si>
    <t xml:space="preserve">New Tier 1 Subs (gross)</t>
  </si>
  <si>
    <t xml:space="preserve">New LATAM Subs (gross)</t>
  </si>
  <si>
    <t xml:space="preserve">Churned Tier 1</t>
  </si>
  <si>
    <t xml:space="preserve">Churned LATAM</t>
  </si>
  <si>
    <t xml:space="preserve">Active Tier 1 Subs</t>
  </si>
  <si>
    <t xml:space="preserve">Active LATAM Subs</t>
  </si>
  <si>
    <t xml:space="preserve">Total Active Subs</t>
  </si>
  <si>
    <t xml:space="preserve">Singles sold</t>
  </si>
  <si>
    <t xml:space="preserve">Add-ons sold</t>
  </si>
  <si>
    <t xml:space="preserve">═══ REVENUE ═══</t>
  </si>
  <si>
    <t xml:space="preserve">MRR Tier 1</t>
  </si>
  <si>
    <t xml:space="preserve">MRR LATAM</t>
  </si>
  <si>
    <t xml:space="preserve">Singles Revenue</t>
  </si>
  <si>
    <t xml:space="preserve">Add-ons Revenue</t>
  </si>
  <si>
    <t xml:space="preserve">TOTAL REVENUE</t>
  </si>
  <si>
    <t xml:space="preserve">═══ COST OF REVENUE (Stripe) ═══</t>
  </si>
  <si>
    <t xml:space="preserve">Transactions</t>
  </si>
  <si>
    <t xml:space="preserve">Stripe % Fee</t>
  </si>
  <si>
    <t xml:space="preserve">Stripe Fixed Fee</t>
  </si>
  <si>
    <t xml:space="preserve">TOTAL STRIPE FEES</t>
  </si>
  <si>
    <t xml:space="preserve">NET REVENUE</t>
  </si>
  <si>
    <t xml:space="preserve">═══ COGS (Infrastructure) ═══</t>
  </si>
  <si>
    <t xml:space="preserve">Vercel (÷4)</t>
  </si>
  <si>
    <t xml:space="preserve">═══ GROSS PROFIT ═══</t>
  </si>
  <si>
    <t xml:space="preserve">GROSS PROFIT</t>
  </si>
  <si>
    <t xml:space="preserve">Gross Margin %</t>
  </si>
  <si>
    <t xml:space="preserve">═══ OPERATING EXPENSES ═══</t>
  </si>
  <si>
    <t xml:space="preserve">Marketing/Ads</t>
  </si>
  <si>
    <t xml:space="preserve">Tools/Software</t>
  </si>
  <si>
    <t xml:space="preserve">TOTAL OPEX</t>
  </si>
  <si>
    <t xml:space="preserve">═══ NET INCOME ═══</t>
  </si>
  <si>
    <t xml:space="preserve">NET INCOME</t>
  </si>
  <si>
    <t xml:space="preserve">Net Margin %</t>
  </si>
  <si>
    <t xml:space="preserve">Cumulative P/L</t>
  </si>
  <si>
    <t xml:space="preserve">First Cash Flow Positive Month</t>
  </si>
  <si>
    <t xml:space="preserve">MRR Month 12</t>
  </si>
  <si>
    <t xml:space="preserve">P&amp;L - ESCENARIO OPTIMISTA</t>
  </si>
  <si>
    <t xml:space="preserve">Incluye: Churn 6% mensual, Marketing OpEx optimista, crecimiento acelerado</t>
  </si>
  <si>
    <t xml:space="preserve">COMPARACIÓN DE ESCENARIOS</t>
  </si>
  <si>
    <t xml:space="preserve">Métrica</t>
  </si>
  <si>
    <t xml:space="preserve">Diferencia</t>
  </si>
  <si>
    <t xml:space="preserve">Total Revenue Año 1</t>
  </si>
  <si>
    <t xml:space="preserve">Total Stripe Fees</t>
  </si>
  <si>
    <t xml:space="preserve">Total COGS</t>
  </si>
  <si>
    <t xml:space="preserve">Gross Profit</t>
  </si>
  <si>
    <t xml:space="preserve">Marketing OpEx</t>
  </si>
  <si>
    <t xml:space="preserve">Total OpEx</t>
  </si>
  <si>
    <t xml:space="preserve">Net Income Año 1</t>
  </si>
  <si>
    <t xml:space="preserve">MRR Mes 12</t>
  </si>
  <si>
    <t xml:space="preserve">ARR Proyectado</t>
  </si>
  <si>
    <t xml:space="preserve">Active Subs Mes 12</t>
  </si>
  <si>
    <t xml:space="preserve">KEY INSIGHTS</t>
  </si>
  <si>
    <t xml:space="preserve">• Churn 6% reduce subs activos ~25-30% vs sin churn</t>
  </si>
  <si>
    <t xml:space="preserve">• Marketing + Tools OpEx absorbe utilidad en meses tempranos</t>
  </si>
  <si>
    <t xml:space="preserve">• Base: net positive desde Mes 4, Optimista: net positive desde Mes 3</t>
  </si>
  <si>
    <t xml:space="preserve">• Escenario optimista: ~$11/sub adicional CAC, payback &lt;2 meses</t>
  </si>
  <si>
    <t xml:space="preserve">• Gross margin 75-80% es excelente para SaaS bootstrapped</t>
  </si>
  <si>
    <t xml:space="preserve">• Tools: Email service (Resend/SendGrid) necesario desde M2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</si>
</sst>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FEB9C"/>
        <bgColor rgb="FFFCE4D6"/>
      </patternFill>
    </fill>
    <fill>
      <patternFill patternType="solid">
        <fgColor rgb="FFFFC7CE"/>
        <bgColor rgb="FFFCE4D6"/>
      </patternFill>
    </fill>
    <fill>
      <patternFill patternType="solid">
        <fgColor rgb="FFC6EFCE"/>
        <bgColor rgb="FFDDEBF7"/>
      </patternFill>
    </fill>
    <fill>
      <patternFill patternType="solid">
        <fgColor rgb="FFFCE4D6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3" min="3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0" t="s">
        <v>6</v>
      </c>
      <c r="B6" s="0" t="s">
        <v>7</v>
      </c>
      <c r="C6" s="5" t="n">
        <v>7</v>
      </c>
    </row>
    <row r="7" customFormat="false" ht="15" hidden="false" customHeight="false" outlineLevel="0" collapsed="false">
      <c r="A7" s="0" t="s">
        <v>8</v>
      </c>
      <c r="B7" s="0" t="s">
        <v>9</v>
      </c>
      <c r="C7" s="5" t="n">
        <v>5</v>
      </c>
    </row>
    <row r="8" customFormat="false" ht="15" hidden="false" customHeight="false" outlineLevel="0" collapsed="false">
      <c r="A8" s="0" t="s">
        <v>10</v>
      </c>
      <c r="B8" s="0" t="s">
        <v>11</v>
      </c>
      <c r="C8" s="5" t="n">
        <v>0</v>
      </c>
    </row>
    <row r="9" customFormat="false" ht="15" hidden="false" customHeight="false" outlineLevel="0" collapsed="false">
      <c r="A9" s="0" t="s">
        <v>12</v>
      </c>
      <c r="B9" s="0" t="s">
        <v>13</v>
      </c>
      <c r="C9" s="5" t="n">
        <v>1</v>
      </c>
    </row>
    <row r="10" customFormat="false" ht="15" hidden="false" customHeight="false" outlineLevel="0" collapsed="false">
      <c r="A10" s="6" t="s">
        <v>14</v>
      </c>
      <c r="C10" s="7" t="n">
        <f aca="false">SUM(C6:C9)</f>
        <v>13</v>
      </c>
    </row>
    <row r="12" customFormat="false" ht="15" hidden="false" customHeight="false" outlineLevel="0" collapsed="false">
      <c r="A12" s="3" t="s">
        <v>15</v>
      </c>
    </row>
    <row r="13" customFormat="false" ht="15" hidden="false" customHeight="false" outlineLevel="0" collapsed="false">
      <c r="A13" s="0" t="s">
        <v>16</v>
      </c>
      <c r="B13" s="8" t="n">
        <v>0.029</v>
      </c>
    </row>
    <row r="14" customFormat="false" ht="15" hidden="false" customHeight="false" outlineLevel="0" collapsed="false">
      <c r="A14" s="0" t="s">
        <v>17</v>
      </c>
      <c r="B14" s="5" t="n">
        <v>0.3</v>
      </c>
    </row>
    <row r="16" customFormat="false" ht="15" hidden="false" customHeight="false" outlineLevel="0" collapsed="false">
      <c r="A16" s="3" t="s">
        <v>18</v>
      </c>
    </row>
    <row r="17" customFormat="false" ht="15" hidden="false" customHeight="false" outlineLevel="0" collapsed="false">
      <c r="A17" s="4" t="s">
        <v>4</v>
      </c>
      <c r="B17" s="4" t="s">
        <v>19</v>
      </c>
      <c r="C17" s="4" t="s">
        <v>20</v>
      </c>
    </row>
    <row r="18" customFormat="false" ht="15" hidden="false" customHeight="false" outlineLevel="0" collapsed="false">
      <c r="A18" s="0" t="s">
        <v>21</v>
      </c>
      <c r="B18" s="5" t="n">
        <v>10.5</v>
      </c>
      <c r="C18" s="5" t="n">
        <f aca="false">B18-(B18*$B$13+$B$14)</f>
        <v>9.8955</v>
      </c>
    </row>
    <row r="19" customFormat="false" ht="15" hidden="false" customHeight="false" outlineLevel="0" collapsed="false">
      <c r="A19" s="0" t="s">
        <v>22</v>
      </c>
      <c r="B19" s="5" t="n">
        <v>5.2</v>
      </c>
      <c r="C19" s="5" t="n">
        <f aca="false">B19-(B19*$B$13+$B$14)</f>
        <v>4.7492</v>
      </c>
    </row>
    <row r="20" customFormat="false" ht="15" hidden="false" customHeight="false" outlineLevel="0" collapsed="false">
      <c r="A20" s="0" t="s">
        <v>23</v>
      </c>
      <c r="B20" s="5" t="n">
        <v>5.99</v>
      </c>
      <c r="C20" s="5" t="n">
        <f aca="false">B20-(B20*$B$13+$B$14)</f>
        <v>5.51629</v>
      </c>
    </row>
    <row r="21" customFormat="false" ht="15" hidden="false" customHeight="false" outlineLevel="0" collapsed="false">
      <c r="A21" s="0" t="s">
        <v>24</v>
      </c>
      <c r="B21" s="5" t="n">
        <v>3.99</v>
      </c>
      <c r="C21" s="5" t="n">
        <f aca="false">B21-(B21*$B$13+$B$14)</f>
        <v>3.57429</v>
      </c>
    </row>
    <row r="24" customFormat="false" ht="15" hidden="false" customHeight="false" outlineLevel="0" collapsed="false">
      <c r="A24" s="3" t="s">
        <v>25</v>
      </c>
    </row>
    <row r="25" customFormat="false" ht="15" hidden="false" customHeight="false" outlineLevel="0" collapsed="false">
      <c r="A25" s="0" t="s">
        <v>26</v>
      </c>
      <c r="B25" s="8" t="n">
        <v>0.06</v>
      </c>
      <c r="C25" s="9" t="s">
        <v>27</v>
      </c>
    </row>
    <row r="26" customFormat="false" ht="15" hidden="false" customHeight="false" outlineLevel="0" collapsed="false">
      <c r="A26" s="0" t="s">
        <v>28</v>
      </c>
      <c r="B26" s="8" t="n">
        <f aca="false">1-B25</f>
        <v>0.94</v>
      </c>
    </row>
    <row r="28" customFormat="false" ht="15" hidden="false" customHeight="false" outlineLevel="0" collapsed="false">
      <c r="A28" s="3" t="s">
        <v>29</v>
      </c>
    </row>
    <row r="29" customFormat="false" ht="15" hidden="false" customHeight="false" outlineLevel="0" collapsed="false">
      <c r="A29" s="4" t="s">
        <v>30</v>
      </c>
      <c r="B29" s="4" t="s">
        <v>31</v>
      </c>
      <c r="C29" s="4" t="s">
        <v>32</v>
      </c>
    </row>
    <row r="30" customFormat="false" ht="15" hidden="false" customHeight="false" outlineLevel="0" collapsed="false">
      <c r="A30" s="0" t="s">
        <v>33</v>
      </c>
      <c r="B30" s="5" t="n">
        <v>50</v>
      </c>
      <c r="C30" s="5" t="n">
        <v>90</v>
      </c>
    </row>
    <row r="31" customFormat="false" ht="15" hidden="false" customHeight="false" outlineLevel="0" collapsed="false">
      <c r="A31" s="0" t="s">
        <v>34</v>
      </c>
      <c r="B31" s="5" t="n">
        <v>115</v>
      </c>
      <c r="C31" s="5" t="n">
        <v>200</v>
      </c>
    </row>
    <row r="32" customFormat="false" ht="15" hidden="false" customHeight="false" outlineLevel="0" collapsed="false">
      <c r="A32" s="0" t="s">
        <v>35</v>
      </c>
      <c r="B32" s="5" t="n">
        <v>110</v>
      </c>
      <c r="C32" s="5" t="n">
        <v>230</v>
      </c>
    </row>
    <row r="33" customFormat="false" ht="15" hidden="false" customHeight="false" outlineLevel="0" collapsed="false">
      <c r="A33" s="0" t="s">
        <v>36</v>
      </c>
      <c r="B33" s="5" t="n">
        <v>100</v>
      </c>
      <c r="C33" s="5" t="n">
        <v>200</v>
      </c>
    </row>
    <row r="34" customFormat="false" ht="15" hidden="false" customHeight="false" outlineLevel="0" collapsed="false">
      <c r="A34" s="0" t="s">
        <v>37</v>
      </c>
      <c r="B34" s="5" t="n">
        <v>100</v>
      </c>
      <c r="C34" s="5" t="n">
        <v>200</v>
      </c>
    </row>
    <row r="35" customFormat="false" ht="15" hidden="false" customHeight="false" outlineLevel="0" collapsed="false">
      <c r="A35" s="0" t="s">
        <v>38</v>
      </c>
      <c r="B35" s="5" t="n">
        <v>120</v>
      </c>
      <c r="C35" s="5" t="n">
        <v>250</v>
      </c>
    </row>
    <row r="36" customFormat="false" ht="15" hidden="false" customHeight="false" outlineLevel="0" collapsed="false">
      <c r="A36" s="0" t="s">
        <v>39</v>
      </c>
      <c r="B36" s="5" t="n">
        <v>120</v>
      </c>
      <c r="C36" s="5" t="n">
        <v>250</v>
      </c>
    </row>
    <row r="37" customFormat="false" ht="15" hidden="false" customHeight="false" outlineLevel="0" collapsed="false">
      <c r="A37" s="0" t="s">
        <v>40</v>
      </c>
      <c r="B37" s="5" t="n">
        <v>150</v>
      </c>
      <c r="C37" s="5" t="n">
        <v>300</v>
      </c>
    </row>
    <row r="38" customFormat="false" ht="15" hidden="false" customHeight="false" outlineLevel="0" collapsed="false">
      <c r="A38" s="0" t="s">
        <v>41</v>
      </c>
      <c r="B38" s="5" t="n">
        <v>150</v>
      </c>
      <c r="C38" s="5" t="n">
        <v>300</v>
      </c>
    </row>
    <row r="39" customFormat="false" ht="15" hidden="false" customHeight="false" outlineLevel="0" collapsed="false">
      <c r="A39" s="0" t="s">
        <v>42</v>
      </c>
      <c r="B39" s="5" t="n">
        <v>180</v>
      </c>
      <c r="C39" s="5" t="n">
        <v>350</v>
      </c>
    </row>
    <row r="40" customFormat="false" ht="15" hidden="false" customHeight="false" outlineLevel="0" collapsed="false">
      <c r="A40" s="0" t="s">
        <v>43</v>
      </c>
      <c r="B40" s="5" t="n">
        <v>180</v>
      </c>
      <c r="C40" s="5" t="n">
        <v>350</v>
      </c>
    </row>
    <row r="41" customFormat="false" ht="15" hidden="false" customHeight="false" outlineLevel="0" collapsed="false">
      <c r="A41" s="0" t="s">
        <v>44</v>
      </c>
      <c r="B41" s="5" t="n">
        <v>200</v>
      </c>
      <c r="C41" s="5" t="n">
        <v>400</v>
      </c>
    </row>
    <row r="42" customFormat="false" ht="15" hidden="false" customHeight="false" outlineLevel="0" collapsed="false">
      <c r="A42" s="0" t="s">
        <v>45</v>
      </c>
      <c r="B42" s="7" t="n">
        <f aca="false">SUM(B30:B41)</f>
        <v>1575</v>
      </c>
      <c r="C42" s="7" t="n">
        <f aca="false">SUM(C30:C41)</f>
        <v>3120</v>
      </c>
    </row>
    <row r="44" customFormat="false" ht="15" hidden="false" customHeight="false" outlineLevel="0" collapsed="false">
      <c r="A44" s="3" t="s">
        <v>46</v>
      </c>
    </row>
    <row r="45" customFormat="false" ht="15" hidden="false" customHeight="false" outlineLevel="0" collapsed="false">
      <c r="A45" s="0" t="s">
        <v>47</v>
      </c>
      <c r="B45" s="0" t="s">
        <v>48</v>
      </c>
      <c r="C45" s="0" t="s">
        <v>49</v>
      </c>
    </row>
    <row r="46" customFormat="false" ht="15" hidden="false" customHeight="false" outlineLevel="0" collapsed="false">
      <c r="A46" s="0" t="s">
        <v>50</v>
      </c>
      <c r="B46" s="5" t="n">
        <v>160</v>
      </c>
      <c r="C46" s="9" t="s">
        <v>51</v>
      </c>
    </row>
    <row r="47" customFormat="false" ht="15" hidden="false" customHeight="false" outlineLevel="0" collapsed="false">
      <c r="A47" s="0" t="s">
        <v>52</v>
      </c>
      <c r="B47" s="5" t="n">
        <v>240</v>
      </c>
      <c r="C47" s="9" t="s">
        <v>53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4" min="2" style="0" width="10"/>
  </cols>
  <sheetData>
    <row r="1" customFormat="false" ht="17.35" hidden="false" customHeight="false" outlineLevel="0" collapsed="false">
      <c r="A1" s="10" t="s">
        <v>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0" t="s">
        <v>56</v>
      </c>
      <c r="B4" s="4" t="s">
        <v>57</v>
      </c>
      <c r="C4" s="4" t="s">
        <v>58</v>
      </c>
      <c r="D4" s="4" t="s">
        <v>59</v>
      </c>
      <c r="E4" s="4" t="s">
        <v>60</v>
      </c>
      <c r="F4" s="4" t="s">
        <v>61</v>
      </c>
      <c r="G4" s="4" t="s">
        <v>62</v>
      </c>
      <c r="H4" s="4" t="s">
        <v>63</v>
      </c>
      <c r="I4" s="4" t="s">
        <v>64</v>
      </c>
      <c r="J4" s="4" t="s">
        <v>65</v>
      </c>
      <c r="K4" s="4" t="s">
        <v>66</v>
      </c>
      <c r="L4" s="4" t="s">
        <v>67</v>
      </c>
      <c r="M4" s="4" t="s">
        <v>68</v>
      </c>
      <c r="N4" s="4" t="s">
        <v>69</v>
      </c>
    </row>
    <row r="5" customFormat="false" ht="15" hidden="false" customHeight="false" outlineLevel="0" collapsed="false">
      <c r="A5" s="11" t="s">
        <v>70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customFormat="false" ht="15" hidden="false" customHeight="false" outlineLevel="0" collapsed="false">
      <c r="A6" s="0" t="s">
        <v>71</v>
      </c>
      <c r="B6" s="0" t="n">
        <v>2</v>
      </c>
      <c r="C6" s="0" t="n">
        <v>2</v>
      </c>
      <c r="D6" s="0" t="n">
        <v>2</v>
      </c>
      <c r="E6" s="0" t="n">
        <v>2</v>
      </c>
      <c r="F6" s="0" t="n">
        <v>3</v>
      </c>
      <c r="G6" s="0" t="n">
        <v>3</v>
      </c>
      <c r="H6" s="0" t="n">
        <v>3</v>
      </c>
      <c r="I6" s="0" t="n">
        <v>4</v>
      </c>
      <c r="J6" s="0" t="n">
        <v>4</v>
      </c>
      <c r="K6" s="0" t="n">
        <v>5</v>
      </c>
      <c r="L6" s="0" t="n">
        <v>5</v>
      </c>
      <c r="M6" s="0" t="n">
        <v>6</v>
      </c>
    </row>
    <row r="7" customFormat="false" ht="15" hidden="false" customHeight="false" outlineLevel="0" collapsed="false">
      <c r="A7" s="0" t="s">
        <v>72</v>
      </c>
      <c r="B7" s="0" t="n">
        <v>1</v>
      </c>
      <c r="C7" s="0" t="n">
        <v>2</v>
      </c>
      <c r="D7" s="0" t="n">
        <v>3</v>
      </c>
      <c r="E7" s="0" t="n">
        <v>3</v>
      </c>
      <c r="F7" s="0" t="n">
        <v>3</v>
      </c>
      <c r="G7" s="0" t="n">
        <v>4</v>
      </c>
      <c r="H7" s="0" t="n">
        <v>5</v>
      </c>
      <c r="I7" s="0" t="n">
        <v>5</v>
      </c>
      <c r="J7" s="0" t="n">
        <v>6</v>
      </c>
      <c r="K7" s="0" t="n">
        <v>7</v>
      </c>
      <c r="L7" s="0" t="n">
        <v>8</v>
      </c>
      <c r="M7" s="0" t="n">
        <v>9</v>
      </c>
    </row>
    <row r="8" customFormat="false" ht="15" hidden="false" customHeight="false" outlineLevel="0" collapsed="false">
      <c r="A8" s="0" t="s">
        <v>73</v>
      </c>
      <c r="B8" s="0" t="n">
        <v>0</v>
      </c>
      <c r="C8" s="0" t="n">
        <f aca="false">ROUND(B10*Supuestos!$B$25,0)</f>
        <v>0</v>
      </c>
      <c r="D8" s="0" t="n">
        <f aca="false">ROUND(C10*Supuestos!$B$25,0)</f>
        <v>0</v>
      </c>
      <c r="E8" s="0" t="n">
        <f aca="false">ROUND(D10*Supuestos!$B$25,0)</f>
        <v>0</v>
      </c>
      <c r="F8" s="0" t="n">
        <f aca="false">ROUND(E10*Supuestos!$B$25,0)</f>
        <v>0</v>
      </c>
      <c r="G8" s="0" t="n">
        <f aca="false">ROUND(F10*Supuestos!$B$25,0)</f>
        <v>1</v>
      </c>
      <c r="H8" s="0" t="n">
        <f aca="false">ROUND(G10*Supuestos!$B$25,0)</f>
        <v>1</v>
      </c>
      <c r="I8" s="0" t="n">
        <f aca="false">ROUND(H10*Supuestos!$B$25,0)</f>
        <v>1</v>
      </c>
      <c r="J8" s="0" t="n">
        <f aca="false">ROUND(I10*Supuestos!$B$25,0)</f>
        <v>1</v>
      </c>
      <c r="K8" s="0" t="n">
        <f aca="false">ROUND(J10*Supuestos!$B$25,0)</f>
        <v>1</v>
      </c>
      <c r="L8" s="0" t="n">
        <f aca="false">ROUND(K10*Supuestos!$B$25,0)</f>
        <v>2</v>
      </c>
      <c r="M8" s="0" t="n">
        <f aca="false">ROUND(L10*Supuestos!$B$25,0)</f>
        <v>2</v>
      </c>
    </row>
    <row r="9" customFormat="false" ht="15" hidden="false" customHeight="false" outlineLevel="0" collapsed="false">
      <c r="A9" s="0" t="s">
        <v>74</v>
      </c>
      <c r="B9" s="0" t="n">
        <v>0</v>
      </c>
      <c r="C9" s="0" t="n">
        <f aca="false">ROUND(B11*Supuestos!$B$25,0)</f>
        <v>0</v>
      </c>
      <c r="D9" s="0" t="n">
        <f aca="false">ROUND(C11*Supuestos!$B$25,0)</f>
        <v>0</v>
      </c>
      <c r="E9" s="0" t="n">
        <f aca="false">ROUND(D11*Supuestos!$B$25,0)</f>
        <v>0</v>
      </c>
      <c r="F9" s="0" t="n">
        <f aca="false">ROUND(E11*Supuestos!$B$25,0)</f>
        <v>1</v>
      </c>
      <c r="G9" s="0" t="n">
        <f aca="false">ROUND(F11*Supuestos!$B$25,0)</f>
        <v>1</v>
      </c>
      <c r="H9" s="0" t="n">
        <f aca="false">ROUND(G11*Supuestos!$B$25,0)</f>
        <v>1</v>
      </c>
      <c r="I9" s="0" t="n">
        <f aca="false">ROUND(H11*Supuestos!$B$25,0)</f>
        <v>1</v>
      </c>
      <c r="J9" s="0" t="n">
        <f aca="false">ROUND(I11*Supuestos!$B$25,0)</f>
        <v>1</v>
      </c>
      <c r="K9" s="0" t="n">
        <f aca="false">ROUND(J11*Supuestos!$B$25,0)</f>
        <v>2</v>
      </c>
      <c r="L9" s="0" t="n">
        <f aca="false">ROUND(K11*Supuestos!$B$25,0)</f>
        <v>2</v>
      </c>
      <c r="M9" s="0" t="n">
        <f aca="false">ROUND(L11*Supuestos!$B$25,0)</f>
        <v>2</v>
      </c>
    </row>
    <row r="10" customFormat="false" ht="15" hidden="false" customHeight="false" outlineLevel="0" collapsed="false">
      <c r="A10" s="6" t="s">
        <v>75</v>
      </c>
      <c r="B10" s="9" t="n">
        <f aca="false">B6</f>
        <v>2</v>
      </c>
      <c r="C10" s="9" t="n">
        <f aca="false">B10+C6-C8</f>
        <v>4</v>
      </c>
      <c r="D10" s="9" t="n">
        <f aca="false">C10+D6-D8</f>
        <v>6</v>
      </c>
      <c r="E10" s="9" t="n">
        <f aca="false">D10+E6-E8</f>
        <v>8</v>
      </c>
      <c r="F10" s="9" t="n">
        <f aca="false">E10+F6-F8</f>
        <v>11</v>
      </c>
      <c r="G10" s="9" t="n">
        <f aca="false">F10+G6-G8</f>
        <v>13</v>
      </c>
      <c r="H10" s="9" t="n">
        <f aca="false">G10+H6-H8</f>
        <v>15</v>
      </c>
      <c r="I10" s="9" t="n">
        <f aca="false">H10+I6-I8</f>
        <v>18</v>
      </c>
      <c r="J10" s="9" t="n">
        <f aca="false">I10+J6-J8</f>
        <v>21</v>
      </c>
      <c r="K10" s="9" t="n">
        <f aca="false">J10+K6-K8</f>
        <v>25</v>
      </c>
      <c r="L10" s="9" t="n">
        <f aca="false">K10+L6-L8</f>
        <v>28</v>
      </c>
      <c r="M10" s="9" t="n">
        <f aca="false">L10+M6-M8</f>
        <v>32</v>
      </c>
      <c r="N10" s="9" t="n">
        <f aca="false">M10</f>
        <v>32</v>
      </c>
    </row>
    <row r="11" customFormat="false" ht="15" hidden="false" customHeight="false" outlineLevel="0" collapsed="false">
      <c r="A11" s="6" t="s">
        <v>76</v>
      </c>
      <c r="B11" s="9" t="n">
        <f aca="false">B7</f>
        <v>1</v>
      </c>
      <c r="C11" s="9" t="n">
        <f aca="false">B11+C7-C9</f>
        <v>3</v>
      </c>
      <c r="D11" s="9" t="n">
        <f aca="false">C11+D7-D9</f>
        <v>6</v>
      </c>
      <c r="E11" s="9" t="n">
        <f aca="false">D11+E7-E9</f>
        <v>9</v>
      </c>
      <c r="F11" s="9" t="n">
        <f aca="false">E11+F7-F9</f>
        <v>11</v>
      </c>
      <c r="G11" s="9" t="n">
        <f aca="false">F11+G7-G9</f>
        <v>14</v>
      </c>
      <c r="H11" s="9" t="n">
        <f aca="false">G11+H7-H9</f>
        <v>18</v>
      </c>
      <c r="I11" s="9" t="n">
        <f aca="false">H11+I7-I9</f>
        <v>22</v>
      </c>
      <c r="J11" s="9" t="n">
        <f aca="false">I11+J7-J9</f>
        <v>27</v>
      </c>
      <c r="K11" s="9" t="n">
        <f aca="false">J11+K7-K9</f>
        <v>32</v>
      </c>
      <c r="L11" s="9" t="n">
        <f aca="false">K11+L7-L9</f>
        <v>38</v>
      </c>
      <c r="M11" s="9" t="n">
        <f aca="false">L11+M7-M9</f>
        <v>45</v>
      </c>
      <c r="N11" s="9" t="n">
        <f aca="false">M11</f>
        <v>45</v>
      </c>
    </row>
    <row r="12" customFormat="false" ht="15" hidden="false" customHeight="false" outlineLevel="0" collapsed="false">
      <c r="A12" s="6" t="s">
        <v>77</v>
      </c>
      <c r="B12" s="6" t="n">
        <f aca="false">B10+B11</f>
        <v>3</v>
      </c>
      <c r="C12" s="6" t="n">
        <f aca="false">C10+C11</f>
        <v>7</v>
      </c>
      <c r="D12" s="6" t="n">
        <f aca="false">D10+D11</f>
        <v>12</v>
      </c>
      <c r="E12" s="6" t="n">
        <f aca="false">E10+E11</f>
        <v>17</v>
      </c>
      <c r="F12" s="6" t="n">
        <f aca="false">F10+F11</f>
        <v>22</v>
      </c>
      <c r="G12" s="6" t="n">
        <f aca="false">G10+G11</f>
        <v>27</v>
      </c>
      <c r="H12" s="6" t="n">
        <f aca="false">H10+H11</f>
        <v>33</v>
      </c>
      <c r="I12" s="6" t="n">
        <f aca="false">I10+I11</f>
        <v>40</v>
      </c>
      <c r="J12" s="6" t="n">
        <f aca="false">J10+J11</f>
        <v>48</v>
      </c>
      <c r="K12" s="6" t="n">
        <f aca="false">K10+K11</f>
        <v>57</v>
      </c>
      <c r="L12" s="6" t="n">
        <f aca="false">L10+L11</f>
        <v>66</v>
      </c>
      <c r="M12" s="6" t="n">
        <f aca="false">M10+M11</f>
        <v>77</v>
      </c>
      <c r="N12" s="6" t="n">
        <f aca="false">N10+N11</f>
        <v>77</v>
      </c>
    </row>
    <row r="13" customFormat="false" ht="15" hidden="false" customHeight="false" outlineLevel="0" collapsed="false">
      <c r="A13" s="0" t="s">
        <v>78</v>
      </c>
      <c r="B13" s="0" t="n">
        <v>1</v>
      </c>
      <c r="C13" s="0" t="n">
        <v>2</v>
      </c>
      <c r="D13" s="0" t="n">
        <v>2</v>
      </c>
      <c r="E13" s="0" t="n">
        <v>3</v>
      </c>
      <c r="F13" s="0" t="n">
        <v>3</v>
      </c>
      <c r="G13" s="0" t="n">
        <v>4</v>
      </c>
      <c r="H13" s="0" t="n">
        <v>5</v>
      </c>
      <c r="I13" s="0" t="n">
        <v>5</v>
      </c>
      <c r="J13" s="0" t="n">
        <v>6</v>
      </c>
      <c r="K13" s="0" t="n">
        <v>7</v>
      </c>
      <c r="L13" s="0" t="n">
        <v>8</v>
      </c>
      <c r="M13" s="0" t="n">
        <v>10</v>
      </c>
      <c r="N13" s="0" t="n">
        <f aca="false">SUM(B13:M13)</f>
        <v>56</v>
      </c>
    </row>
    <row r="14" customFormat="false" ht="15" hidden="false" customHeight="false" outlineLevel="0" collapsed="false">
      <c r="A14" s="0" t="s">
        <v>79</v>
      </c>
      <c r="B14" s="0" t="n">
        <v>0</v>
      </c>
      <c r="C14" s="0" t="n">
        <v>1</v>
      </c>
      <c r="D14" s="0" t="n">
        <v>1</v>
      </c>
      <c r="E14" s="0" t="n">
        <v>1</v>
      </c>
      <c r="F14" s="0" t="n">
        <v>2</v>
      </c>
      <c r="G14" s="0" t="n">
        <v>2</v>
      </c>
      <c r="H14" s="0" t="n">
        <v>3</v>
      </c>
      <c r="I14" s="0" t="n">
        <v>3</v>
      </c>
      <c r="J14" s="0" t="n">
        <v>4</v>
      </c>
      <c r="K14" s="0" t="n">
        <v>5</v>
      </c>
      <c r="L14" s="0" t="n">
        <v>6</v>
      </c>
      <c r="M14" s="0" t="n">
        <v>7</v>
      </c>
      <c r="N14" s="0" t="n">
        <f aca="false">SUM(B14:M14)</f>
        <v>35</v>
      </c>
    </row>
    <row r="16" customFormat="false" ht="15" hidden="false" customHeight="false" outlineLevel="0" collapsed="false">
      <c r="A16" s="12" t="s">
        <v>80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customFormat="false" ht="15" hidden="false" customHeight="false" outlineLevel="0" collapsed="false">
      <c r="A17" s="0" t="s">
        <v>81</v>
      </c>
      <c r="B17" s="5" t="n">
        <f aca="false">B10*Supuestos!$B$18</f>
        <v>21</v>
      </c>
      <c r="C17" s="5" t="n">
        <f aca="false">C10*Supuestos!$B$18</f>
        <v>42</v>
      </c>
      <c r="D17" s="5" t="n">
        <f aca="false">D10*Supuestos!$B$18</f>
        <v>63</v>
      </c>
      <c r="E17" s="5" t="n">
        <f aca="false">E10*Supuestos!$B$18</f>
        <v>84</v>
      </c>
      <c r="F17" s="5" t="n">
        <f aca="false">F10*Supuestos!$B$18</f>
        <v>115.5</v>
      </c>
      <c r="G17" s="5" t="n">
        <f aca="false">G10*Supuestos!$B$18</f>
        <v>136.5</v>
      </c>
      <c r="H17" s="5" t="n">
        <f aca="false">H10*Supuestos!$B$18</f>
        <v>157.5</v>
      </c>
      <c r="I17" s="5" t="n">
        <f aca="false">I10*Supuestos!$B$18</f>
        <v>189</v>
      </c>
      <c r="J17" s="5" t="n">
        <f aca="false">J10*Supuestos!$B$18</f>
        <v>220.5</v>
      </c>
      <c r="K17" s="5" t="n">
        <f aca="false">K10*Supuestos!$B$18</f>
        <v>262.5</v>
      </c>
      <c r="L17" s="5" t="n">
        <f aca="false">L10*Supuestos!$B$18</f>
        <v>294</v>
      </c>
      <c r="M17" s="5" t="n">
        <f aca="false">M10*Supuestos!$B$18</f>
        <v>336</v>
      </c>
      <c r="N17" s="5" t="n">
        <f aca="false">SUM(B17:M17)</f>
        <v>1921.5</v>
      </c>
    </row>
    <row r="18" customFormat="false" ht="15" hidden="false" customHeight="false" outlineLevel="0" collapsed="false">
      <c r="A18" s="0" t="s">
        <v>82</v>
      </c>
      <c r="B18" s="5" t="n">
        <f aca="false">B11*Supuestos!$B$19</f>
        <v>5.2</v>
      </c>
      <c r="C18" s="5" t="n">
        <f aca="false">C11*Supuestos!$B$19</f>
        <v>15.6</v>
      </c>
      <c r="D18" s="5" t="n">
        <f aca="false">D11*Supuestos!$B$19</f>
        <v>31.2</v>
      </c>
      <c r="E18" s="5" t="n">
        <f aca="false">E11*Supuestos!$B$19</f>
        <v>46.8</v>
      </c>
      <c r="F18" s="5" t="n">
        <f aca="false">F11*Supuestos!$B$19</f>
        <v>57.2</v>
      </c>
      <c r="G18" s="5" t="n">
        <f aca="false">G11*Supuestos!$B$19</f>
        <v>72.8</v>
      </c>
      <c r="H18" s="5" t="n">
        <f aca="false">H11*Supuestos!$B$19</f>
        <v>93.6</v>
      </c>
      <c r="I18" s="5" t="n">
        <f aca="false">I11*Supuestos!$B$19</f>
        <v>114.4</v>
      </c>
      <c r="J18" s="5" t="n">
        <f aca="false">J11*Supuestos!$B$19</f>
        <v>140.4</v>
      </c>
      <c r="K18" s="5" t="n">
        <f aca="false">K11*Supuestos!$B$19</f>
        <v>166.4</v>
      </c>
      <c r="L18" s="5" t="n">
        <f aca="false">L11*Supuestos!$B$19</f>
        <v>197.6</v>
      </c>
      <c r="M18" s="5" t="n">
        <f aca="false">M11*Supuestos!$B$19</f>
        <v>234</v>
      </c>
      <c r="N18" s="5" t="n">
        <f aca="false">SUM(B18:M18)</f>
        <v>1175.2</v>
      </c>
    </row>
    <row r="19" customFormat="false" ht="15" hidden="false" customHeight="false" outlineLevel="0" collapsed="false">
      <c r="A19" s="0" t="s">
        <v>83</v>
      </c>
      <c r="B19" s="5" t="n">
        <f aca="false">B13*Supuestos!$B$20</f>
        <v>5.99</v>
      </c>
      <c r="C19" s="5" t="n">
        <f aca="false">C13*Supuestos!$B$20</f>
        <v>11.98</v>
      </c>
      <c r="D19" s="5" t="n">
        <f aca="false">D13*Supuestos!$B$20</f>
        <v>11.98</v>
      </c>
      <c r="E19" s="5" t="n">
        <f aca="false">E13*Supuestos!$B$20</f>
        <v>17.97</v>
      </c>
      <c r="F19" s="5" t="n">
        <f aca="false">F13*Supuestos!$B$20</f>
        <v>17.97</v>
      </c>
      <c r="G19" s="5" t="n">
        <f aca="false">G13*Supuestos!$B$20</f>
        <v>23.96</v>
      </c>
      <c r="H19" s="5" t="n">
        <f aca="false">H13*Supuestos!$B$20</f>
        <v>29.95</v>
      </c>
      <c r="I19" s="5" t="n">
        <f aca="false">I13*Supuestos!$B$20</f>
        <v>29.95</v>
      </c>
      <c r="J19" s="5" t="n">
        <f aca="false">J13*Supuestos!$B$20</f>
        <v>35.94</v>
      </c>
      <c r="K19" s="5" t="n">
        <f aca="false">K13*Supuestos!$B$20</f>
        <v>41.93</v>
      </c>
      <c r="L19" s="5" t="n">
        <f aca="false">L13*Supuestos!$B$20</f>
        <v>47.92</v>
      </c>
      <c r="M19" s="5" t="n">
        <f aca="false">M13*Supuestos!$B$20</f>
        <v>59.9</v>
      </c>
      <c r="N19" s="5" t="n">
        <f aca="false">SUM(B19:M19)</f>
        <v>335.44</v>
      </c>
    </row>
    <row r="20" customFormat="false" ht="15" hidden="false" customHeight="false" outlineLevel="0" collapsed="false">
      <c r="A20" s="0" t="s">
        <v>84</v>
      </c>
      <c r="B20" s="5" t="n">
        <f aca="false">B14*Supuestos!$B$21</f>
        <v>0</v>
      </c>
      <c r="C20" s="5" t="n">
        <f aca="false">C14*Supuestos!$B$21</f>
        <v>3.99</v>
      </c>
      <c r="D20" s="5" t="n">
        <f aca="false">D14*Supuestos!$B$21</f>
        <v>3.99</v>
      </c>
      <c r="E20" s="5" t="n">
        <f aca="false">E14*Supuestos!$B$21</f>
        <v>3.99</v>
      </c>
      <c r="F20" s="5" t="n">
        <f aca="false">F14*Supuestos!$B$21</f>
        <v>7.98</v>
      </c>
      <c r="G20" s="5" t="n">
        <f aca="false">G14*Supuestos!$B$21</f>
        <v>7.98</v>
      </c>
      <c r="H20" s="5" t="n">
        <f aca="false">H14*Supuestos!$B$21</f>
        <v>11.97</v>
      </c>
      <c r="I20" s="5" t="n">
        <f aca="false">I14*Supuestos!$B$21</f>
        <v>11.97</v>
      </c>
      <c r="J20" s="5" t="n">
        <f aca="false">J14*Supuestos!$B$21</f>
        <v>15.96</v>
      </c>
      <c r="K20" s="5" t="n">
        <f aca="false">K14*Supuestos!$B$21</f>
        <v>19.95</v>
      </c>
      <c r="L20" s="5" t="n">
        <f aca="false">L14*Supuestos!$B$21</f>
        <v>23.94</v>
      </c>
      <c r="M20" s="5" t="n">
        <f aca="false">M14*Supuestos!$B$21</f>
        <v>27.93</v>
      </c>
      <c r="N20" s="5" t="n">
        <f aca="false">SUM(B20:M20)</f>
        <v>139.65</v>
      </c>
    </row>
    <row r="21" customFormat="false" ht="15" hidden="false" customHeight="false" outlineLevel="0" collapsed="false">
      <c r="A21" s="6" t="s">
        <v>85</v>
      </c>
      <c r="B21" s="13" t="n">
        <f aca="false">SUM(B17:B20)</f>
        <v>32.19</v>
      </c>
      <c r="C21" s="13" t="n">
        <f aca="false">SUM(C17:C20)</f>
        <v>73.57</v>
      </c>
      <c r="D21" s="13" t="n">
        <f aca="false">SUM(D17:D20)</f>
        <v>110.17</v>
      </c>
      <c r="E21" s="13" t="n">
        <f aca="false">SUM(E17:E20)</f>
        <v>152.76</v>
      </c>
      <c r="F21" s="13" t="n">
        <f aca="false">SUM(F17:F20)</f>
        <v>198.65</v>
      </c>
      <c r="G21" s="13" t="n">
        <f aca="false">SUM(G17:G20)</f>
        <v>241.24</v>
      </c>
      <c r="H21" s="13" t="n">
        <f aca="false">SUM(H17:H20)</f>
        <v>293.02</v>
      </c>
      <c r="I21" s="13" t="n">
        <f aca="false">SUM(I17:I20)</f>
        <v>345.32</v>
      </c>
      <c r="J21" s="13" t="n">
        <f aca="false">SUM(J17:J20)</f>
        <v>412.8</v>
      </c>
      <c r="K21" s="13" t="n">
        <f aca="false">SUM(K17:K20)</f>
        <v>490.78</v>
      </c>
      <c r="L21" s="13" t="n">
        <f aca="false">SUM(L17:L20)</f>
        <v>563.46</v>
      </c>
      <c r="M21" s="13" t="n">
        <f aca="false">SUM(M17:M20)</f>
        <v>657.83</v>
      </c>
      <c r="N21" s="13" t="n">
        <f aca="false">SUM(N17:N20)</f>
        <v>3571.79</v>
      </c>
    </row>
    <row r="23" customFormat="false" ht="15" hidden="false" customHeight="false" outlineLevel="0" collapsed="false">
      <c r="A23" s="14" t="s">
        <v>86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customFormat="false" ht="15" hidden="false" customHeight="false" outlineLevel="0" collapsed="false">
      <c r="A24" s="0" t="s">
        <v>87</v>
      </c>
      <c r="B24" s="0" t="n">
        <f aca="false">B12+B13+B14</f>
        <v>4</v>
      </c>
      <c r="C24" s="0" t="n">
        <f aca="false">C12+C13+C14</f>
        <v>10</v>
      </c>
      <c r="D24" s="0" t="n">
        <f aca="false">D12+D13+D14</f>
        <v>15</v>
      </c>
      <c r="E24" s="0" t="n">
        <f aca="false">E12+E13+E14</f>
        <v>21</v>
      </c>
      <c r="F24" s="0" t="n">
        <f aca="false">F12+F13+F14</f>
        <v>27</v>
      </c>
      <c r="G24" s="0" t="n">
        <f aca="false">G12+G13+G14</f>
        <v>33</v>
      </c>
      <c r="H24" s="0" t="n">
        <f aca="false">H12+H13+H14</f>
        <v>41</v>
      </c>
      <c r="I24" s="0" t="n">
        <f aca="false">I12+I13+I14</f>
        <v>48</v>
      </c>
      <c r="J24" s="0" t="n">
        <f aca="false">J12+J13+J14</f>
        <v>58</v>
      </c>
      <c r="K24" s="0" t="n">
        <f aca="false">K12+K13+K14</f>
        <v>69</v>
      </c>
      <c r="L24" s="0" t="n">
        <f aca="false">L12+L13+L14</f>
        <v>80</v>
      </c>
      <c r="M24" s="0" t="n">
        <f aca="false">M12+M13+M14</f>
        <v>94</v>
      </c>
      <c r="N24" s="0" t="n">
        <f aca="false">SUM(B24:M24)</f>
        <v>500</v>
      </c>
    </row>
    <row r="25" customFormat="false" ht="15" hidden="false" customHeight="false" outlineLevel="0" collapsed="false">
      <c r="A25" s="0" t="s">
        <v>88</v>
      </c>
      <c r="B25" s="5" t="n">
        <f aca="false">B21*Supuestos!$B$13</f>
        <v>0.93351</v>
      </c>
      <c r="C25" s="5" t="n">
        <f aca="false">C21*Supuestos!$B$13</f>
        <v>2.13353</v>
      </c>
      <c r="D25" s="5" t="n">
        <f aca="false">D21*Supuestos!$B$13</f>
        <v>3.19493</v>
      </c>
      <c r="E25" s="5" t="n">
        <f aca="false">E21*Supuestos!$B$13</f>
        <v>4.43004</v>
      </c>
      <c r="F25" s="5" t="n">
        <f aca="false">F21*Supuestos!$B$13</f>
        <v>5.76085</v>
      </c>
      <c r="G25" s="5" t="n">
        <f aca="false">G21*Supuestos!$B$13</f>
        <v>6.99596</v>
      </c>
      <c r="H25" s="5" t="n">
        <f aca="false">H21*Supuestos!$B$13</f>
        <v>8.49758</v>
      </c>
      <c r="I25" s="5" t="n">
        <f aca="false">I21*Supuestos!$B$13</f>
        <v>10.01428</v>
      </c>
      <c r="J25" s="5" t="n">
        <f aca="false">J21*Supuestos!$B$13</f>
        <v>11.9712</v>
      </c>
      <c r="K25" s="5" t="n">
        <f aca="false">K21*Supuestos!$B$13</f>
        <v>14.23262</v>
      </c>
      <c r="L25" s="5" t="n">
        <f aca="false">L21*Supuestos!$B$13</f>
        <v>16.34034</v>
      </c>
      <c r="M25" s="5" t="n">
        <f aca="false">M21*Supuestos!$B$13</f>
        <v>19.07707</v>
      </c>
      <c r="N25" s="5" t="n">
        <f aca="false">SUM(B25:M25)</f>
        <v>103.58191</v>
      </c>
    </row>
    <row r="26" customFormat="false" ht="15" hidden="false" customHeight="false" outlineLevel="0" collapsed="false">
      <c r="A26" s="0" t="s">
        <v>89</v>
      </c>
      <c r="B26" s="5" t="n">
        <f aca="false">B24*Supuestos!$B$14</f>
        <v>1.2</v>
      </c>
      <c r="C26" s="5" t="n">
        <f aca="false">C24*Supuestos!$B$14</f>
        <v>3</v>
      </c>
      <c r="D26" s="5" t="n">
        <f aca="false">D24*Supuestos!$B$14</f>
        <v>4.5</v>
      </c>
      <c r="E26" s="5" t="n">
        <f aca="false">E24*Supuestos!$B$14</f>
        <v>6.3</v>
      </c>
      <c r="F26" s="5" t="n">
        <f aca="false">F24*Supuestos!$B$14</f>
        <v>8.1</v>
      </c>
      <c r="G26" s="5" t="n">
        <f aca="false">G24*Supuestos!$B$14</f>
        <v>9.9</v>
      </c>
      <c r="H26" s="5" t="n">
        <f aca="false">H24*Supuestos!$B$14</f>
        <v>12.3</v>
      </c>
      <c r="I26" s="5" t="n">
        <f aca="false">I24*Supuestos!$B$14</f>
        <v>14.4</v>
      </c>
      <c r="J26" s="5" t="n">
        <f aca="false">J24*Supuestos!$B$14</f>
        <v>17.4</v>
      </c>
      <c r="K26" s="5" t="n">
        <f aca="false">K24*Supuestos!$B$14</f>
        <v>20.7</v>
      </c>
      <c r="L26" s="5" t="n">
        <f aca="false">L24*Supuestos!$B$14</f>
        <v>24</v>
      </c>
      <c r="M26" s="5" t="n">
        <f aca="false">M24*Supuestos!$B$14</f>
        <v>28.2</v>
      </c>
      <c r="N26" s="5" t="n">
        <f aca="false">SUM(B26:M26)</f>
        <v>150</v>
      </c>
    </row>
    <row r="27" customFormat="false" ht="15" hidden="false" customHeight="false" outlineLevel="0" collapsed="false">
      <c r="A27" s="6" t="s">
        <v>90</v>
      </c>
      <c r="B27" s="15" t="n">
        <f aca="false">B25+B26</f>
        <v>2.13351</v>
      </c>
      <c r="C27" s="15" t="n">
        <f aca="false">C25+C26</f>
        <v>5.13353</v>
      </c>
      <c r="D27" s="15" t="n">
        <f aca="false">D25+D26</f>
        <v>7.69493</v>
      </c>
      <c r="E27" s="15" t="n">
        <f aca="false">E25+E26</f>
        <v>10.73004</v>
      </c>
      <c r="F27" s="15" t="n">
        <f aca="false">F25+F26</f>
        <v>13.86085</v>
      </c>
      <c r="G27" s="15" t="n">
        <f aca="false">G25+G26</f>
        <v>16.89596</v>
      </c>
      <c r="H27" s="15" t="n">
        <f aca="false">H25+H26</f>
        <v>20.79758</v>
      </c>
      <c r="I27" s="15" t="n">
        <f aca="false">I25+I26</f>
        <v>24.41428</v>
      </c>
      <c r="J27" s="15" t="n">
        <f aca="false">J25+J26</f>
        <v>29.3712</v>
      </c>
      <c r="K27" s="15" t="n">
        <f aca="false">K25+K26</f>
        <v>34.93262</v>
      </c>
      <c r="L27" s="15" t="n">
        <f aca="false">L25+L26</f>
        <v>40.34034</v>
      </c>
      <c r="M27" s="15" t="n">
        <f aca="false">M25+M26</f>
        <v>47.27707</v>
      </c>
      <c r="N27" s="15" t="n">
        <f aca="false">N25+N26</f>
        <v>253.58191</v>
      </c>
    </row>
    <row r="29" customFormat="false" ht="15" hidden="false" customHeight="false" outlineLevel="0" collapsed="false">
      <c r="A29" s="6" t="s">
        <v>91</v>
      </c>
      <c r="B29" s="7" t="n">
        <f aca="false">B21-B27</f>
        <v>30.05649</v>
      </c>
      <c r="C29" s="7" t="n">
        <f aca="false">C21-C27</f>
        <v>68.43647</v>
      </c>
      <c r="D29" s="7" t="n">
        <f aca="false">D21-D27</f>
        <v>102.47507</v>
      </c>
      <c r="E29" s="7" t="n">
        <f aca="false">E21-E27</f>
        <v>142.02996</v>
      </c>
      <c r="F29" s="7" t="n">
        <f aca="false">F21-F27</f>
        <v>184.78915</v>
      </c>
      <c r="G29" s="7" t="n">
        <f aca="false">G21-G27</f>
        <v>224.34404</v>
      </c>
      <c r="H29" s="7" t="n">
        <f aca="false">H21-H27</f>
        <v>272.22242</v>
      </c>
      <c r="I29" s="7" t="n">
        <f aca="false">I21-I27</f>
        <v>320.90572</v>
      </c>
      <c r="J29" s="7" t="n">
        <f aca="false">J21-J27</f>
        <v>383.4288</v>
      </c>
      <c r="K29" s="7" t="n">
        <f aca="false">K21-K27</f>
        <v>455.84738</v>
      </c>
      <c r="L29" s="7" t="n">
        <f aca="false">L21-L27</f>
        <v>523.11966</v>
      </c>
      <c r="M29" s="7" t="n">
        <f aca="false">M21-M27</f>
        <v>610.55293</v>
      </c>
      <c r="N29" s="7" t="n">
        <f aca="false">N21-N27</f>
        <v>3318.20809</v>
      </c>
    </row>
    <row r="31" customFormat="false" ht="15" hidden="false" customHeight="false" outlineLevel="0" collapsed="false">
      <c r="A31" s="16" t="s">
        <v>92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customFormat="false" ht="15" hidden="false" customHeight="false" outlineLevel="0" collapsed="false">
      <c r="A32" s="0" t="s">
        <v>6</v>
      </c>
      <c r="B32" s="5" t="n">
        <f aca="false">Supuestos!$C$6</f>
        <v>7</v>
      </c>
      <c r="C32" s="5" t="n">
        <f aca="false">Supuestos!$C$6</f>
        <v>7</v>
      </c>
      <c r="D32" s="5" t="n">
        <f aca="false">Supuestos!$C$6</f>
        <v>7</v>
      </c>
      <c r="E32" s="5" t="n">
        <f aca="false">Supuestos!$C$6</f>
        <v>7</v>
      </c>
      <c r="F32" s="5" t="n">
        <f aca="false">Supuestos!$C$6</f>
        <v>7</v>
      </c>
      <c r="G32" s="5" t="n">
        <f aca="false">Supuestos!$C$6</f>
        <v>7</v>
      </c>
      <c r="H32" s="5" t="n">
        <f aca="false">Supuestos!$C$6</f>
        <v>7</v>
      </c>
      <c r="I32" s="5" t="n">
        <f aca="false">Supuestos!$C$6</f>
        <v>7</v>
      </c>
      <c r="J32" s="5" t="n">
        <f aca="false">Supuestos!$C$6</f>
        <v>7</v>
      </c>
      <c r="K32" s="5" t="n">
        <f aca="false">Supuestos!$C$6</f>
        <v>7</v>
      </c>
      <c r="L32" s="5" t="n">
        <f aca="false">Supuestos!$C$6</f>
        <v>7</v>
      </c>
      <c r="M32" s="5" t="n">
        <f aca="false">Supuestos!$C$6</f>
        <v>7</v>
      </c>
      <c r="N32" s="5" t="n">
        <f aca="false">SUM(B32:M32)</f>
        <v>84</v>
      </c>
    </row>
    <row r="33" customFormat="false" ht="15" hidden="false" customHeight="false" outlineLevel="0" collapsed="false">
      <c r="A33" s="0" t="s">
        <v>93</v>
      </c>
      <c r="B33" s="5" t="n">
        <f aca="false">Supuestos!$C$7</f>
        <v>5</v>
      </c>
      <c r="C33" s="5" t="n">
        <f aca="false">Supuestos!$C$7</f>
        <v>5</v>
      </c>
      <c r="D33" s="5" t="n">
        <f aca="false">Supuestos!$C$7</f>
        <v>5</v>
      </c>
      <c r="E33" s="5" t="n">
        <f aca="false">Supuestos!$C$7</f>
        <v>5</v>
      </c>
      <c r="F33" s="5" t="n">
        <f aca="false">Supuestos!$C$7</f>
        <v>5</v>
      </c>
      <c r="G33" s="5" t="n">
        <f aca="false">Supuestos!$C$7</f>
        <v>5</v>
      </c>
      <c r="H33" s="5" t="n">
        <f aca="false">Supuestos!$C$7</f>
        <v>5</v>
      </c>
      <c r="I33" s="5" t="n">
        <f aca="false">Supuestos!$C$7</f>
        <v>5</v>
      </c>
      <c r="J33" s="5" t="n">
        <f aca="false">Supuestos!$C$7</f>
        <v>5</v>
      </c>
      <c r="K33" s="5" t="n">
        <f aca="false">Supuestos!$C$7</f>
        <v>5</v>
      </c>
      <c r="L33" s="5" t="n">
        <f aca="false">Supuestos!$C$7</f>
        <v>5</v>
      </c>
      <c r="M33" s="5" t="n">
        <f aca="false">Supuestos!$C$7</f>
        <v>5</v>
      </c>
      <c r="N33" s="5" t="n">
        <f aca="false">SUM(B33:M33)</f>
        <v>60</v>
      </c>
    </row>
    <row r="34" customFormat="false" ht="15" hidden="false" customHeight="false" outlineLevel="0" collapsed="false">
      <c r="A34" s="0" t="s">
        <v>10</v>
      </c>
      <c r="B34" s="5" t="n">
        <f aca="false">Supuestos!$C$8</f>
        <v>0</v>
      </c>
      <c r="C34" s="5" t="n">
        <f aca="false">Supuestos!$C$8</f>
        <v>0</v>
      </c>
      <c r="D34" s="5" t="n">
        <f aca="false">Supuestos!$C$8</f>
        <v>0</v>
      </c>
      <c r="E34" s="5" t="n">
        <f aca="false">Supuestos!$C$8</f>
        <v>0</v>
      </c>
      <c r="F34" s="5" t="n">
        <f aca="false">Supuestos!$C$8</f>
        <v>0</v>
      </c>
      <c r="G34" s="5" t="n">
        <f aca="false">Supuestos!$C$8</f>
        <v>0</v>
      </c>
      <c r="H34" s="5" t="n">
        <f aca="false">Supuestos!$C$8</f>
        <v>0</v>
      </c>
      <c r="I34" s="5" t="n">
        <f aca="false">Supuestos!$C$8</f>
        <v>0</v>
      </c>
      <c r="J34" s="5" t="n">
        <f aca="false">Supuestos!$C$8</f>
        <v>0</v>
      </c>
      <c r="K34" s="5" t="n">
        <f aca="false">Supuestos!$C$8</f>
        <v>0</v>
      </c>
      <c r="L34" s="5" t="n">
        <f aca="false">Supuestos!$C$8</f>
        <v>0</v>
      </c>
      <c r="M34" s="5" t="n">
        <f aca="false">Supuestos!$C$8</f>
        <v>0</v>
      </c>
      <c r="N34" s="5" t="n">
        <f aca="false">SUM(B34:M34)</f>
        <v>0</v>
      </c>
    </row>
    <row r="35" customFormat="false" ht="15" hidden="false" customHeight="false" outlineLevel="0" collapsed="false">
      <c r="A35" s="0" t="s">
        <v>12</v>
      </c>
      <c r="B35" s="5" t="n">
        <f aca="false">Supuestos!$C$9</f>
        <v>1</v>
      </c>
      <c r="C35" s="5" t="n">
        <f aca="false">Supuestos!$C$9</f>
        <v>1</v>
      </c>
      <c r="D35" s="5" t="n">
        <f aca="false">Supuestos!$C$9</f>
        <v>1</v>
      </c>
      <c r="E35" s="5" t="n">
        <f aca="false">Supuestos!$C$9</f>
        <v>1</v>
      </c>
      <c r="F35" s="5" t="n">
        <f aca="false">Supuestos!$C$9</f>
        <v>1</v>
      </c>
      <c r="G35" s="5" t="n">
        <f aca="false">Supuestos!$C$9</f>
        <v>1</v>
      </c>
      <c r="H35" s="5" t="n">
        <f aca="false">Supuestos!$C$9</f>
        <v>1</v>
      </c>
      <c r="I35" s="5" t="n">
        <f aca="false">Supuestos!$C$9</f>
        <v>1</v>
      </c>
      <c r="J35" s="5" t="n">
        <f aca="false">Supuestos!$C$9</f>
        <v>1</v>
      </c>
      <c r="K35" s="5" t="n">
        <f aca="false">Supuestos!$C$9</f>
        <v>1</v>
      </c>
      <c r="L35" s="5" t="n">
        <f aca="false">Supuestos!$C$9</f>
        <v>1</v>
      </c>
      <c r="M35" s="5" t="n">
        <f aca="false">Supuestos!$C$9</f>
        <v>1</v>
      </c>
      <c r="N35" s="5" t="n">
        <f aca="false">SUM(B35:M35)</f>
        <v>12</v>
      </c>
    </row>
    <row r="36" customFormat="false" ht="15" hidden="false" customHeight="false" outlineLevel="0" collapsed="false">
      <c r="A36" s="6" t="s">
        <v>14</v>
      </c>
      <c r="B36" s="17" t="n">
        <f aca="false">SUM(B32:B35)</f>
        <v>13</v>
      </c>
      <c r="C36" s="17" t="n">
        <f aca="false">SUM(C32:C35)</f>
        <v>13</v>
      </c>
      <c r="D36" s="17" t="n">
        <f aca="false">SUM(D32:D35)</f>
        <v>13</v>
      </c>
      <c r="E36" s="17" t="n">
        <f aca="false">SUM(E32:E35)</f>
        <v>13</v>
      </c>
      <c r="F36" s="17" t="n">
        <f aca="false">SUM(F32:F35)</f>
        <v>13</v>
      </c>
      <c r="G36" s="17" t="n">
        <f aca="false">SUM(G32:G35)</f>
        <v>13</v>
      </c>
      <c r="H36" s="17" t="n">
        <f aca="false">SUM(H32:H35)</f>
        <v>13</v>
      </c>
      <c r="I36" s="17" t="n">
        <f aca="false">SUM(I32:I35)</f>
        <v>13</v>
      </c>
      <c r="J36" s="17" t="n">
        <f aca="false">SUM(J32:J35)</f>
        <v>13</v>
      </c>
      <c r="K36" s="17" t="n">
        <f aca="false">SUM(K32:K35)</f>
        <v>13</v>
      </c>
      <c r="L36" s="17" t="n">
        <f aca="false">SUM(L32:L35)</f>
        <v>13</v>
      </c>
      <c r="M36" s="17" t="n">
        <f aca="false">SUM(M32:M35)</f>
        <v>13</v>
      </c>
      <c r="N36" s="17" t="n">
        <f aca="false">SUM(N32:N35)</f>
        <v>156</v>
      </c>
    </row>
    <row r="38" customFormat="false" ht="15" hidden="false" customHeight="false" outlineLevel="0" collapsed="false">
      <c r="A38" s="18" t="s">
        <v>94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customFormat="false" ht="15" hidden="false" customHeight="false" outlineLevel="0" collapsed="false">
      <c r="A39" s="6" t="s">
        <v>95</v>
      </c>
      <c r="B39" s="19" t="n">
        <f aca="false">B29-B36</f>
        <v>17.05649</v>
      </c>
      <c r="C39" s="19" t="n">
        <f aca="false">C29-C36</f>
        <v>55.43647</v>
      </c>
      <c r="D39" s="19" t="n">
        <f aca="false">D29-D36</f>
        <v>89.47507</v>
      </c>
      <c r="E39" s="19" t="n">
        <f aca="false">E29-E36</f>
        <v>129.02996</v>
      </c>
      <c r="F39" s="19" t="n">
        <f aca="false">F29-F36</f>
        <v>171.78915</v>
      </c>
      <c r="G39" s="19" t="n">
        <f aca="false">G29-G36</f>
        <v>211.34404</v>
      </c>
      <c r="H39" s="19" t="n">
        <f aca="false">H29-H36</f>
        <v>259.22242</v>
      </c>
      <c r="I39" s="19" t="n">
        <f aca="false">I29-I36</f>
        <v>307.90572</v>
      </c>
      <c r="J39" s="19" t="n">
        <f aca="false">J29-J36</f>
        <v>370.4288</v>
      </c>
      <c r="K39" s="19" t="n">
        <f aca="false">K29-K36</f>
        <v>442.84738</v>
      </c>
      <c r="L39" s="19" t="n">
        <f aca="false">L29-L36</f>
        <v>510.11966</v>
      </c>
      <c r="M39" s="19" t="n">
        <f aca="false">M29-M36</f>
        <v>597.55293</v>
      </c>
      <c r="N39" s="19" t="n">
        <f aca="false">N29-N36</f>
        <v>3162.20809</v>
      </c>
    </row>
    <row r="40" customFormat="false" ht="15" hidden="false" customHeight="false" outlineLevel="0" collapsed="false">
      <c r="A40" s="0" t="s">
        <v>96</v>
      </c>
      <c r="B40" s="8" t="n">
        <f aca="false">IF(B21&gt;0,B39/B21,0)</f>
        <v>0.529869214041628</v>
      </c>
      <c r="C40" s="8" t="n">
        <f aca="false">IF(C21&gt;0,C39/C21,0)</f>
        <v>0.753520048932989</v>
      </c>
      <c r="D40" s="8" t="n">
        <f aca="false">IF(D21&gt;0,D39/D21,0)</f>
        <v>0.812154579286557</v>
      </c>
      <c r="E40" s="8" t="n">
        <f aca="false">IF(E21&gt;0,E39/E21,0)</f>
        <v>0.844658025661168</v>
      </c>
      <c r="F40" s="8" t="n">
        <f aca="false">IF(F21&gt;0,F39/F21,0)</f>
        <v>0.864783035489555</v>
      </c>
      <c r="G40" s="8" t="n">
        <f aca="false">IF(G21&gt;0,G39/G21,0)</f>
        <v>0.876073785441884</v>
      </c>
      <c r="H40" s="8" t="n">
        <f aca="false">IF(H21&gt;0,H39/H21,0)</f>
        <v>0.884657770800628</v>
      </c>
      <c r="I40" s="8" t="n">
        <f aca="false">IF(I21&gt;0,I39/I21,0)</f>
        <v>0.891653307077493</v>
      </c>
      <c r="J40" s="8" t="n">
        <f aca="false">IF(J21&gt;0,J39/J21,0)</f>
        <v>0.897356589147287</v>
      </c>
      <c r="K40" s="8" t="n">
        <f aca="false">IF(K21&gt;0,K39/K21,0)</f>
        <v>0.902333795183178</v>
      </c>
      <c r="L40" s="8" t="n">
        <f aca="false">IF(L21&gt;0,L39/L21,0)</f>
        <v>0.905334291697725</v>
      </c>
      <c r="M40" s="8" t="n">
        <f aca="false">IF(M21&gt;0,M39/M21,0)</f>
        <v>0.90836983719198</v>
      </c>
      <c r="N40" s="8" t="n">
        <f aca="false">IF(N21&gt;0,N39/N21,0)</f>
        <v>0.885328669938602</v>
      </c>
    </row>
    <row r="42" customFormat="false" ht="15" hidden="false" customHeight="false" outlineLevel="0" collapsed="false">
      <c r="A42" s="20" t="s">
        <v>97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 customFormat="false" ht="15" hidden="false" customHeight="false" outlineLevel="0" collapsed="false">
      <c r="A43" s="0" t="s">
        <v>98</v>
      </c>
      <c r="B43" s="5" t="n">
        <v>50</v>
      </c>
      <c r="C43" s="5" t="n">
        <v>115</v>
      </c>
      <c r="D43" s="5" t="n">
        <v>110</v>
      </c>
      <c r="E43" s="5" t="n">
        <v>100</v>
      </c>
      <c r="F43" s="5" t="n">
        <v>100</v>
      </c>
      <c r="G43" s="5" t="n">
        <v>120</v>
      </c>
      <c r="H43" s="5" t="n">
        <v>120</v>
      </c>
      <c r="I43" s="5" t="n">
        <v>150</v>
      </c>
      <c r="J43" s="5" t="n">
        <v>150</v>
      </c>
      <c r="K43" s="5" t="n">
        <v>180</v>
      </c>
      <c r="L43" s="5" t="n">
        <v>180</v>
      </c>
      <c r="M43" s="5" t="n">
        <v>200</v>
      </c>
      <c r="N43" s="5" t="n">
        <f aca="false">SUM(B43:M43)</f>
        <v>1575</v>
      </c>
    </row>
    <row r="44" customFormat="false" ht="15" hidden="false" customHeight="false" outlineLevel="0" collapsed="false">
      <c r="A44" s="0" t="s">
        <v>99</v>
      </c>
      <c r="B44" s="5" t="n">
        <v>0</v>
      </c>
      <c r="C44" s="5" t="n">
        <v>10</v>
      </c>
      <c r="D44" s="5" t="n">
        <v>10</v>
      </c>
      <c r="E44" s="5" t="n">
        <v>10</v>
      </c>
      <c r="F44" s="5" t="n">
        <v>10</v>
      </c>
      <c r="G44" s="5" t="n">
        <v>15</v>
      </c>
      <c r="H44" s="5" t="n">
        <v>15</v>
      </c>
      <c r="I44" s="5" t="n">
        <v>15</v>
      </c>
      <c r="J44" s="5" t="n">
        <v>15</v>
      </c>
      <c r="K44" s="5" t="n">
        <v>20</v>
      </c>
      <c r="L44" s="5" t="n">
        <v>20</v>
      </c>
      <c r="M44" s="5" t="n">
        <v>20</v>
      </c>
      <c r="N44" s="5" t="n">
        <f aca="false">SUM(B44:M44)</f>
        <v>160</v>
      </c>
    </row>
    <row r="45" customFormat="false" ht="15" hidden="false" customHeight="false" outlineLevel="0" collapsed="false">
      <c r="A45" s="6" t="s">
        <v>100</v>
      </c>
      <c r="B45" s="21" t="n">
        <f aca="false">SUM(B43:B44)</f>
        <v>50</v>
      </c>
      <c r="C45" s="21" t="n">
        <f aca="false">SUM(C43:C44)</f>
        <v>125</v>
      </c>
      <c r="D45" s="21" t="n">
        <f aca="false">SUM(D43:D44)</f>
        <v>120</v>
      </c>
      <c r="E45" s="21" t="n">
        <f aca="false">SUM(E43:E44)</f>
        <v>110</v>
      </c>
      <c r="F45" s="21" t="n">
        <f aca="false">SUM(F43:F44)</f>
        <v>110</v>
      </c>
      <c r="G45" s="21" t="n">
        <f aca="false">SUM(G43:G44)</f>
        <v>135</v>
      </c>
      <c r="H45" s="21" t="n">
        <f aca="false">SUM(H43:H44)</f>
        <v>135</v>
      </c>
      <c r="I45" s="21" t="n">
        <f aca="false">SUM(I43:I44)</f>
        <v>165</v>
      </c>
      <c r="J45" s="21" t="n">
        <f aca="false">SUM(J43:J44)</f>
        <v>165</v>
      </c>
      <c r="K45" s="21" t="n">
        <f aca="false">SUM(K43:K44)</f>
        <v>200</v>
      </c>
      <c r="L45" s="21" t="n">
        <f aca="false">SUM(L43:L44)</f>
        <v>200</v>
      </c>
      <c r="M45" s="21" t="n">
        <f aca="false">SUM(M43:M44)</f>
        <v>220</v>
      </c>
      <c r="N45" s="21" t="n">
        <f aca="false">SUM(N43:N44)</f>
        <v>1735</v>
      </c>
    </row>
    <row r="47" customFormat="false" ht="17.35" hidden="false" customHeight="false" outlineLevel="0" collapsed="false">
      <c r="A47" s="22" t="s">
        <v>101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</row>
    <row r="48" customFormat="false" ht="15" hidden="false" customHeight="false" outlineLevel="0" collapsed="false">
      <c r="A48" s="3" t="s">
        <v>102</v>
      </c>
      <c r="B48" s="23" t="n">
        <f aca="false">B39-B45</f>
        <v>-32.94351</v>
      </c>
      <c r="C48" s="23" t="n">
        <f aca="false">C39-C45</f>
        <v>-69.56353</v>
      </c>
      <c r="D48" s="23" t="n">
        <f aca="false">D39-D45</f>
        <v>-30.52493</v>
      </c>
      <c r="E48" s="23" t="n">
        <f aca="false">E39-E45</f>
        <v>19.02996</v>
      </c>
      <c r="F48" s="23" t="n">
        <f aca="false">F39-F45</f>
        <v>61.78915</v>
      </c>
      <c r="G48" s="23" t="n">
        <f aca="false">G39-G45</f>
        <v>76.34404</v>
      </c>
      <c r="H48" s="23" t="n">
        <f aca="false">H39-H45</f>
        <v>124.22242</v>
      </c>
      <c r="I48" s="23" t="n">
        <f aca="false">I39-I45</f>
        <v>142.90572</v>
      </c>
      <c r="J48" s="23" t="n">
        <f aca="false">J39-J45</f>
        <v>205.4288</v>
      </c>
      <c r="K48" s="23" t="n">
        <f aca="false">K39-K45</f>
        <v>242.84738</v>
      </c>
      <c r="L48" s="23" t="n">
        <f aca="false">L39-L45</f>
        <v>310.11966</v>
      </c>
      <c r="M48" s="23" t="n">
        <f aca="false">M39-M45</f>
        <v>377.55293</v>
      </c>
      <c r="N48" s="23" t="n">
        <f aca="false">N39-N45</f>
        <v>1427.20809</v>
      </c>
    </row>
    <row r="49" customFormat="false" ht="15" hidden="false" customHeight="false" outlineLevel="0" collapsed="false">
      <c r="A49" s="0" t="s">
        <v>103</v>
      </c>
      <c r="B49" s="8" t="n">
        <f aca="false">IF(B21&gt;0,B48/B21,0)</f>
        <v>-1.02340820130475</v>
      </c>
      <c r="C49" s="8" t="n">
        <f aca="false">IF(C21&gt;0,C48/C21,0)</f>
        <v>-0.945542068778035</v>
      </c>
      <c r="D49" s="8" t="n">
        <f aca="false">IF(D21&gt;0,D48/D21,0)</f>
        <v>-0.27707116274848</v>
      </c>
      <c r="E49" s="8" t="n">
        <f aca="false">IF(E21&gt;0,E48/E21,0)</f>
        <v>0.124574234092695</v>
      </c>
      <c r="F49" s="8" t="n">
        <f aca="false">IF(F21&gt;0,F48/F21,0)</f>
        <v>0.311045305814246</v>
      </c>
      <c r="G49" s="8" t="n">
        <f aca="false">IF(G21&gt;0,G48/G21,0)</f>
        <v>0.316465096998839</v>
      </c>
      <c r="H49" s="8" t="n">
        <f aca="false">IF(H21&gt;0,H48/H21,0)</f>
        <v>0.423938365981844</v>
      </c>
      <c r="I49" s="8" t="n">
        <f aca="false">IF(I21&gt;0,I48/I21,0)</f>
        <v>0.413835630719333</v>
      </c>
      <c r="J49" s="8" t="n">
        <f aca="false">IF(J21&gt;0,J48/J21,0)</f>
        <v>0.497647286821705</v>
      </c>
      <c r="K49" s="8" t="n">
        <f aca="false">IF(K21&gt;0,K48/K21,0)</f>
        <v>0.494819226537349</v>
      </c>
      <c r="L49" s="8" t="n">
        <f aca="false">IF(L21&gt;0,L48/L21,0)</f>
        <v>0.550384517090832</v>
      </c>
      <c r="M49" s="8" t="n">
        <f aca="false">IF(M21&gt;0,M48/M21,0)</f>
        <v>0.573936928993813</v>
      </c>
      <c r="N49" s="8" t="n">
        <f aca="false">IF(N21&gt;0,N48/N21,0)</f>
        <v>0.399577827923814</v>
      </c>
    </row>
    <row r="51" customFormat="false" ht="15" hidden="false" customHeight="false" outlineLevel="0" collapsed="false">
      <c r="A51" s="6" t="s">
        <v>104</v>
      </c>
      <c r="B51" s="5" t="n">
        <f aca="false">B48</f>
        <v>-32.94351</v>
      </c>
      <c r="C51" s="5" t="n">
        <f aca="false">C48+B51</f>
        <v>-102.50704</v>
      </c>
      <c r="D51" s="5" t="n">
        <f aca="false">D48+C51</f>
        <v>-133.03197</v>
      </c>
      <c r="E51" s="5" t="n">
        <f aca="false">E48+D51</f>
        <v>-114.00201</v>
      </c>
      <c r="F51" s="5" t="n">
        <f aca="false">F48+E51</f>
        <v>-52.21286</v>
      </c>
      <c r="G51" s="5" t="n">
        <f aca="false">G48+F51</f>
        <v>24.13118</v>
      </c>
      <c r="H51" s="5" t="n">
        <f aca="false">H48+G51</f>
        <v>148.3536</v>
      </c>
      <c r="I51" s="5" t="n">
        <f aca="false">I48+H51</f>
        <v>291.25932</v>
      </c>
      <c r="J51" s="5" t="n">
        <f aca="false">J48+I51</f>
        <v>496.68812</v>
      </c>
      <c r="K51" s="5" t="n">
        <f aca="false">K48+J51</f>
        <v>739.5355</v>
      </c>
      <c r="L51" s="5" t="n">
        <f aca="false">L48+K51</f>
        <v>1049.65516</v>
      </c>
      <c r="M51" s="5" t="n">
        <f aca="false">M48+L51</f>
        <v>1427.20809</v>
      </c>
      <c r="N51" s="23" t="n">
        <f aca="false">M51</f>
        <v>1427.20809</v>
      </c>
    </row>
    <row r="53" customFormat="false" ht="15" hidden="false" customHeight="false" outlineLevel="0" collapsed="false">
      <c r="A53" s="6" t="s">
        <v>105</v>
      </c>
    </row>
    <row r="54" customFormat="false" ht="15" hidden="false" customHeight="false" outlineLevel="0" collapsed="false">
      <c r="A54" s="0" t="s">
        <v>106</v>
      </c>
      <c r="B54" s="7" t="n">
        <f aca="false">M17+M18</f>
        <v>570</v>
      </c>
    </row>
  </sheetData>
  <mergeCells count="8">
    <mergeCell ref="A1:N1"/>
    <mergeCell ref="A5:N5"/>
    <mergeCell ref="A16:N16"/>
    <mergeCell ref="A23:N23"/>
    <mergeCell ref="A31:N31"/>
    <mergeCell ref="A38:N38"/>
    <mergeCell ref="A42:N42"/>
    <mergeCell ref="A47:N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4" min="2" style="0" width="10"/>
  </cols>
  <sheetData>
    <row r="1" customFormat="false" ht="17.35" hidden="false" customHeight="false" outlineLevel="0" collapsed="false">
      <c r="A1" s="10" t="s">
        <v>107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customFormat="false" ht="15" hidden="false" customHeight="false" outlineLevel="0" collapsed="false">
      <c r="A2" s="2" t="s">
        <v>108</v>
      </c>
    </row>
    <row r="4" customFormat="false" ht="15" hidden="false" customHeight="false" outlineLevel="0" collapsed="false">
      <c r="A4" s="0" t="s">
        <v>56</v>
      </c>
      <c r="B4" s="4" t="s">
        <v>57</v>
      </c>
      <c r="C4" s="4" t="s">
        <v>58</v>
      </c>
      <c r="D4" s="4" t="s">
        <v>59</v>
      </c>
      <c r="E4" s="4" t="s">
        <v>60</v>
      </c>
      <c r="F4" s="4" t="s">
        <v>61</v>
      </c>
      <c r="G4" s="4" t="s">
        <v>62</v>
      </c>
      <c r="H4" s="4" t="s">
        <v>63</v>
      </c>
      <c r="I4" s="4" t="s">
        <v>64</v>
      </c>
      <c r="J4" s="4" t="s">
        <v>65</v>
      </c>
      <c r="K4" s="4" t="s">
        <v>66</v>
      </c>
      <c r="L4" s="4" t="s">
        <v>67</v>
      </c>
      <c r="M4" s="4" t="s">
        <v>68</v>
      </c>
      <c r="N4" s="4" t="s">
        <v>69</v>
      </c>
    </row>
    <row r="5" customFormat="false" ht="15" hidden="false" customHeight="false" outlineLevel="0" collapsed="false">
      <c r="A5" s="11" t="s">
        <v>70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customFormat="false" ht="15" hidden="false" customHeight="false" outlineLevel="0" collapsed="false">
      <c r="A6" s="0" t="s">
        <v>71</v>
      </c>
      <c r="B6" s="0" t="n">
        <v>4</v>
      </c>
      <c r="C6" s="0" t="n">
        <v>4</v>
      </c>
      <c r="D6" s="0" t="n">
        <v>5</v>
      </c>
      <c r="E6" s="0" t="n">
        <v>5</v>
      </c>
      <c r="F6" s="0" t="n">
        <v>6</v>
      </c>
      <c r="G6" s="0" t="n">
        <v>7</v>
      </c>
      <c r="H6" s="0" t="n">
        <v>8</v>
      </c>
      <c r="I6" s="0" t="n">
        <v>9</v>
      </c>
      <c r="J6" s="0" t="n">
        <v>10</v>
      </c>
      <c r="K6" s="0" t="n">
        <v>12</v>
      </c>
      <c r="L6" s="0" t="n">
        <v>14</v>
      </c>
      <c r="M6" s="0" t="n">
        <v>16</v>
      </c>
    </row>
    <row r="7" customFormat="false" ht="15" hidden="false" customHeight="false" outlineLevel="0" collapsed="false">
      <c r="A7" s="0" t="s">
        <v>72</v>
      </c>
      <c r="B7" s="0" t="n">
        <v>4</v>
      </c>
      <c r="C7" s="0" t="n">
        <v>5</v>
      </c>
      <c r="D7" s="0" t="n">
        <v>6</v>
      </c>
      <c r="E7" s="0" t="n">
        <v>7</v>
      </c>
      <c r="F7" s="0" t="n">
        <v>8</v>
      </c>
      <c r="G7" s="0" t="n">
        <v>10</v>
      </c>
      <c r="H7" s="0" t="n">
        <v>12</v>
      </c>
      <c r="I7" s="0" t="n">
        <v>14</v>
      </c>
      <c r="J7" s="0" t="n">
        <v>16</v>
      </c>
      <c r="K7" s="0" t="n">
        <v>18</v>
      </c>
      <c r="L7" s="0" t="n">
        <v>20</v>
      </c>
      <c r="M7" s="0" t="n">
        <v>24</v>
      </c>
    </row>
    <row r="8" customFormat="false" ht="15" hidden="false" customHeight="false" outlineLevel="0" collapsed="false">
      <c r="A8" s="0" t="s">
        <v>73</v>
      </c>
      <c r="B8" s="0" t="n">
        <v>0</v>
      </c>
      <c r="C8" s="0" t="n">
        <f aca="false">ROUND(B10*Supuestos!$B$25,0)</f>
        <v>0</v>
      </c>
      <c r="D8" s="0" t="n">
        <f aca="false">ROUND(C10*Supuestos!$B$25,0)</f>
        <v>0</v>
      </c>
      <c r="E8" s="0" t="n">
        <f aca="false">ROUND(D10*Supuestos!$B$25,0)</f>
        <v>1</v>
      </c>
      <c r="F8" s="0" t="n">
        <f aca="false">ROUND(E10*Supuestos!$B$25,0)</f>
        <v>1</v>
      </c>
      <c r="G8" s="0" t="n">
        <f aca="false">ROUND(F10*Supuestos!$B$25,0)</f>
        <v>1</v>
      </c>
      <c r="H8" s="0" t="n">
        <f aca="false">ROUND(G10*Supuestos!$B$25,0)</f>
        <v>2</v>
      </c>
      <c r="I8" s="0" t="n">
        <f aca="false">ROUND(H10*Supuestos!$B$25,0)</f>
        <v>2</v>
      </c>
      <c r="J8" s="0" t="n">
        <f aca="false">ROUND(I10*Supuestos!$B$25,0)</f>
        <v>2</v>
      </c>
      <c r="K8" s="0" t="n">
        <f aca="false">ROUND(J10*Supuestos!$B$25,0)</f>
        <v>3</v>
      </c>
      <c r="L8" s="0" t="n">
        <f aca="false">ROUND(K10*Supuestos!$B$25,0)</f>
        <v>3</v>
      </c>
      <c r="M8" s="0" t="n">
        <f aca="false">ROUND(L10*Supuestos!$B$25,0)</f>
        <v>4</v>
      </c>
    </row>
    <row r="9" customFormat="false" ht="15" hidden="false" customHeight="false" outlineLevel="0" collapsed="false">
      <c r="A9" s="0" t="s">
        <v>74</v>
      </c>
      <c r="B9" s="0" t="n">
        <v>0</v>
      </c>
      <c r="C9" s="0" t="n">
        <f aca="false">ROUND(B11*Supuestos!$B$25,0)</f>
        <v>0</v>
      </c>
      <c r="D9" s="0" t="n">
        <f aca="false">ROUND(C11*Supuestos!$B$25,0)</f>
        <v>1</v>
      </c>
      <c r="E9" s="0" t="n">
        <f aca="false">ROUND(D11*Supuestos!$B$25,0)</f>
        <v>1</v>
      </c>
      <c r="F9" s="0" t="n">
        <f aca="false">ROUND(E11*Supuestos!$B$25,0)</f>
        <v>1</v>
      </c>
      <c r="G9" s="0" t="n">
        <f aca="false">ROUND(F11*Supuestos!$B$25,0)</f>
        <v>2</v>
      </c>
      <c r="H9" s="0" t="n">
        <f aca="false">ROUND(G11*Supuestos!$B$25,0)</f>
        <v>2</v>
      </c>
      <c r="I9" s="0" t="n">
        <f aca="false">ROUND(H11*Supuestos!$B$25,0)</f>
        <v>3</v>
      </c>
      <c r="J9" s="0" t="n">
        <f aca="false">ROUND(I11*Supuestos!$B$25,0)</f>
        <v>3</v>
      </c>
      <c r="K9" s="0" t="n">
        <f aca="false">ROUND(J11*Supuestos!$B$25,0)</f>
        <v>4</v>
      </c>
      <c r="L9" s="0" t="n">
        <f aca="false">ROUND(K11*Supuestos!$B$25,0)</f>
        <v>5</v>
      </c>
      <c r="M9" s="0" t="n">
        <f aca="false">ROUND(L11*Supuestos!$B$25,0)</f>
        <v>6</v>
      </c>
    </row>
    <row r="10" customFormat="false" ht="15" hidden="false" customHeight="false" outlineLevel="0" collapsed="false">
      <c r="A10" s="6" t="s">
        <v>75</v>
      </c>
      <c r="B10" s="9" t="n">
        <f aca="false">B6</f>
        <v>4</v>
      </c>
      <c r="C10" s="9" t="n">
        <f aca="false">B10+C6-C8</f>
        <v>8</v>
      </c>
      <c r="D10" s="9" t="n">
        <f aca="false">C10+D6-D8</f>
        <v>13</v>
      </c>
      <c r="E10" s="9" t="n">
        <f aca="false">D10+E6-E8</f>
        <v>17</v>
      </c>
      <c r="F10" s="9" t="n">
        <f aca="false">E10+F6-F8</f>
        <v>22</v>
      </c>
      <c r="G10" s="9" t="n">
        <f aca="false">F10+G6-G8</f>
        <v>28</v>
      </c>
      <c r="H10" s="9" t="n">
        <f aca="false">G10+H6-H8</f>
        <v>34</v>
      </c>
      <c r="I10" s="9" t="n">
        <f aca="false">H10+I6-I8</f>
        <v>41</v>
      </c>
      <c r="J10" s="9" t="n">
        <f aca="false">I10+J6-J8</f>
        <v>49</v>
      </c>
      <c r="K10" s="9" t="n">
        <f aca="false">J10+K6-K8</f>
        <v>58</v>
      </c>
      <c r="L10" s="9" t="n">
        <f aca="false">K10+L6-L8</f>
        <v>69</v>
      </c>
      <c r="M10" s="9" t="n">
        <f aca="false">L10+M6-M8</f>
        <v>81</v>
      </c>
      <c r="N10" s="9" t="n">
        <f aca="false">M10</f>
        <v>81</v>
      </c>
    </row>
    <row r="11" customFormat="false" ht="15" hidden="false" customHeight="false" outlineLevel="0" collapsed="false">
      <c r="A11" s="6" t="s">
        <v>76</v>
      </c>
      <c r="B11" s="9" t="n">
        <f aca="false">B7</f>
        <v>4</v>
      </c>
      <c r="C11" s="9" t="n">
        <f aca="false">B11+C7-C9</f>
        <v>9</v>
      </c>
      <c r="D11" s="9" t="n">
        <f aca="false">C11+D7-D9</f>
        <v>14</v>
      </c>
      <c r="E11" s="9" t="n">
        <f aca="false">D11+E7-E9</f>
        <v>20</v>
      </c>
      <c r="F11" s="9" t="n">
        <f aca="false">E11+F7-F9</f>
        <v>27</v>
      </c>
      <c r="G11" s="9" t="n">
        <f aca="false">F11+G7-G9</f>
        <v>35</v>
      </c>
      <c r="H11" s="9" t="n">
        <f aca="false">G11+H7-H9</f>
        <v>45</v>
      </c>
      <c r="I11" s="9" t="n">
        <f aca="false">H11+I7-I9</f>
        <v>56</v>
      </c>
      <c r="J11" s="9" t="n">
        <f aca="false">I11+J7-J9</f>
        <v>69</v>
      </c>
      <c r="K11" s="9" t="n">
        <f aca="false">J11+K7-K9</f>
        <v>83</v>
      </c>
      <c r="L11" s="9" t="n">
        <f aca="false">K11+L7-L9</f>
        <v>98</v>
      </c>
      <c r="M11" s="9" t="n">
        <f aca="false">L11+M7-M9</f>
        <v>116</v>
      </c>
      <c r="N11" s="9" t="n">
        <f aca="false">M11</f>
        <v>116</v>
      </c>
    </row>
    <row r="12" customFormat="false" ht="15" hidden="false" customHeight="false" outlineLevel="0" collapsed="false">
      <c r="A12" s="6" t="s">
        <v>77</v>
      </c>
      <c r="B12" s="6" t="n">
        <f aca="false">B10+B11</f>
        <v>8</v>
      </c>
      <c r="C12" s="6" t="n">
        <f aca="false">C10+C11</f>
        <v>17</v>
      </c>
      <c r="D12" s="6" t="n">
        <f aca="false">D10+D11</f>
        <v>27</v>
      </c>
      <c r="E12" s="6" t="n">
        <f aca="false">E10+E11</f>
        <v>37</v>
      </c>
      <c r="F12" s="6" t="n">
        <f aca="false">F10+F11</f>
        <v>49</v>
      </c>
      <c r="G12" s="6" t="n">
        <f aca="false">G10+G11</f>
        <v>63</v>
      </c>
      <c r="H12" s="6" t="n">
        <f aca="false">H10+H11</f>
        <v>79</v>
      </c>
      <c r="I12" s="6" t="n">
        <f aca="false">I10+I11</f>
        <v>97</v>
      </c>
      <c r="J12" s="6" t="n">
        <f aca="false">J10+J11</f>
        <v>118</v>
      </c>
      <c r="K12" s="6" t="n">
        <f aca="false">K10+K11</f>
        <v>141</v>
      </c>
      <c r="L12" s="6" t="n">
        <f aca="false">L10+L11</f>
        <v>167</v>
      </c>
      <c r="M12" s="6" t="n">
        <f aca="false">M10+M11</f>
        <v>197</v>
      </c>
      <c r="N12" s="6" t="n">
        <f aca="false">N10+N11</f>
        <v>197</v>
      </c>
    </row>
    <row r="13" customFormat="false" ht="15" hidden="false" customHeight="false" outlineLevel="0" collapsed="false">
      <c r="A13" s="0" t="s">
        <v>78</v>
      </c>
      <c r="B13" s="0" t="n">
        <v>2</v>
      </c>
      <c r="C13" s="0" t="n">
        <v>4</v>
      </c>
      <c r="D13" s="0" t="n">
        <v>5</v>
      </c>
      <c r="E13" s="0" t="n">
        <v>6</v>
      </c>
      <c r="F13" s="0" t="n">
        <v>7</v>
      </c>
      <c r="G13" s="0" t="n">
        <v>8</v>
      </c>
      <c r="H13" s="0" t="n">
        <v>10</v>
      </c>
      <c r="I13" s="0" t="n">
        <v>12</v>
      </c>
      <c r="J13" s="0" t="n">
        <v>14</v>
      </c>
      <c r="K13" s="0" t="n">
        <v>16</v>
      </c>
      <c r="L13" s="0" t="n">
        <v>18</v>
      </c>
      <c r="M13" s="0" t="n">
        <v>20</v>
      </c>
      <c r="N13" s="0" t="n">
        <f aca="false">SUM(B13:M13)</f>
        <v>122</v>
      </c>
    </row>
    <row r="14" customFormat="false" ht="15" hidden="false" customHeight="false" outlineLevel="0" collapsed="false">
      <c r="A14" s="0" t="s">
        <v>79</v>
      </c>
      <c r="B14" s="0" t="n">
        <v>1</v>
      </c>
      <c r="C14" s="0" t="n">
        <v>2</v>
      </c>
      <c r="D14" s="0" t="n">
        <v>3</v>
      </c>
      <c r="E14" s="0" t="n">
        <v>4</v>
      </c>
      <c r="F14" s="0" t="n">
        <v>5</v>
      </c>
      <c r="G14" s="0" t="n">
        <v>6</v>
      </c>
      <c r="H14" s="0" t="n">
        <v>7</v>
      </c>
      <c r="I14" s="0" t="n">
        <v>8</v>
      </c>
      <c r="J14" s="0" t="n">
        <v>10</v>
      </c>
      <c r="K14" s="0" t="n">
        <v>12</v>
      </c>
      <c r="L14" s="0" t="n">
        <v>14</v>
      </c>
      <c r="M14" s="0" t="n">
        <v>16</v>
      </c>
      <c r="N14" s="0" t="n">
        <f aca="false">SUM(B14:M14)</f>
        <v>88</v>
      </c>
    </row>
    <row r="16" customFormat="false" ht="15" hidden="false" customHeight="false" outlineLevel="0" collapsed="false">
      <c r="A16" s="12" t="s">
        <v>80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customFormat="false" ht="15" hidden="false" customHeight="false" outlineLevel="0" collapsed="false">
      <c r="A17" s="0" t="s">
        <v>81</v>
      </c>
      <c r="B17" s="5" t="n">
        <f aca="false">B10*Supuestos!$B$18</f>
        <v>42</v>
      </c>
      <c r="C17" s="5" t="n">
        <f aca="false">C10*Supuestos!$B$18</f>
        <v>84</v>
      </c>
      <c r="D17" s="5" t="n">
        <f aca="false">D10*Supuestos!$B$18</f>
        <v>136.5</v>
      </c>
      <c r="E17" s="5" t="n">
        <f aca="false">E10*Supuestos!$B$18</f>
        <v>178.5</v>
      </c>
      <c r="F17" s="5" t="n">
        <f aca="false">F10*Supuestos!$B$18</f>
        <v>231</v>
      </c>
      <c r="G17" s="5" t="n">
        <f aca="false">G10*Supuestos!$B$18</f>
        <v>294</v>
      </c>
      <c r="H17" s="5" t="n">
        <f aca="false">H10*Supuestos!$B$18</f>
        <v>357</v>
      </c>
      <c r="I17" s="5" t="n">
        <f aca="false">I10*Supuestos!$B$18</f>
        <v>430.5</v>
      </c>
      <c r="J17" s="5" t="n">
        <f aca="false">J10*Supuestos!$B$18</f>
        <v>514.5</v>
      </c>
      <c r="K17" s="5" t="n">
        <f aca="false">K10*Supuestos!$B$18</f>
        <v>609</v>
      </c>
      <c r="L17" s="5" t="n">
        <f aca="false">L10*Supuestos!$B$18</f>
        <v>724.5</v>
      </c>
      <c r="M17" s="5" t="n">
        <f aca="false">M10*Supuestos!$B$18</f>
        <v>850.5</v>
      </c>
      <c r="N17" s="5" t="n">
        <f aca="false">SUM(B17:M17)</f>
        <v>4452</v>
      </c>
    </row>
    <row r="18" customFormat="false" ht="15" hidden="false" customHeight="false" outlineLevel="0" collapsed="false">
      <c r="A18" s="0" t="s">
        <v>82</v>
      </c>
      <c r="B18" s="5" t="n">
        <f aca="false">B11*Supuestos!$B$19</f>
        <v>20.8</v>
      </c>
      <c r="C18" s="5" t="n">
        <f aca="false">C11*Supuestos!$B$19</f>
        <v>46.8</v>
      </c>
      <c r="D18" s="5" t="n">
        <f aca="false">D11*Supuestos!$B$19</f>
        <v>72.8</v>
      </c>
      <c r="E18" s="5" t="n">
        <f aca="false">E11*Supuestos!$B$19</f>
        <v>104</v>
      </c>
      <c r="F18" s="5" t="n">
        <f aca="false">F11*Supuestos!$B$19</f>
        <v>140.4</v>
      </c>
      <c r="G18" s="5" t="n">
        <f aca="false">G11*Supuestos!$B$19</f>
        <v>182</v>
      </c>
      <c r="H18" s="5" t="n">
        <f aca="false">H11*Supuestos!$B$19</f>
        <v>234</v>
      </c>
      <c r="I18" s="5" t="n">
        <f aca="false">I11*Supuestos!$B$19</f>
        <v>291.2</v>
      </c>
      <c r="J18" s="5" t="n">
        <f aca="false">J11*Supuestos!$B$19</f>
        <v>358.8</v>
      </c>
      <c r="K18" s="5" t="n">
        <f aca="false">K11*Supuestos!$B$19</f>
        <v>431.6</v>
      </c>
      <c r="L18" s="5" t="n">
        <f aca="false">L11*Supuestos!$B$19</f>
        <v>509.6</v>
      </c>
      <c r="M18" s="5" t="n">
        <f aca="false">M11*Supuestos!$B$19</f>
        <v>603.2</v>
      </c>
      <c r="N18" s="5" t="n">
        <f aca="false">SUM(B18:M18)</f>
        <v>2995.2</v>
      </c>
    </row>
    <row r="19" customFormat="false" ht="15" hidden="false" customHeight="false" outlineLevel="0" collapsed="false">
      <c r="A19" s="0" t="s">
        <v>83</v>
      </c>
      <c r="B19" s="5" t="n">
        <f aca="false">B13*Supuestos!$B$20</f>
        <v>11.98</v>
      </c>
      <c r="C19" s="5" t="n">
        <f aca="false">C13*Supuestos!$B$20</f>
        <v>23.96</v>
      </c>
      <c r="D19" s="5" t="n">
        <f aca="false">D13*Supuestos!$B$20</f>
        <v>29.95</v>
      </c>
      <c r="E19" s="5" t="n">
        <f aca="false">E13*Supuestos!$B$20</f>
        <v>35.94</v>
      </c>
      <c r="F19" s="5" t="n">
        <f aca="false">F13*Supuestos!$B$20</f>
        <v>41.93</v>
      </c>
      <c r="G19" s="5" t="n">
        <f aca="false">G13*Supuestos!$B$20</f>
        <v>47.92</v>
      </c>
      <c r="H19" s="5" t="n">
        <f aca="false">H13*Supuestos!$B$20</f>
        <v>59.9</v>
      </c>
      <c r="I19" s="5" t="n">
        <f aca="false">I13*Supuestos!$B$20</f>
        <v>71.88</v>
      </c>
      <c r="J19" s="5" t="n">
        <f aca="false">J13*Supuestos!$B$20</f>
        <v>83.86</v>
      </c>
      <c r="K19" s="5" t="n">
        <f aca="false">K13*Supuestos!$B$20</f>
        <v>95.84</v>
      </c>
      <c r="L19" s="5" t="n">
        <f aca="false">L13*Supuestos!$B$20</f>
        <v>107.82</v>
      </c>
      <c r="M19" s="5" t="n">
        <f aca="false">M13*Supuestos!$B$20</f>
        <v>119.8</v>
      </c>
      <c r="N19" s="5" t="n">
        <f aca="false">SUM(B19:M19)</f>
        <v>730.78</v>
      </c>
    </row>
    <row r="20" customFormat="false" ht="15" hidden="false" customHeight="false" outlineLevel="0" collapsed="false">
      <c r="A20" s="0" t="s">
        <v>84</v>
      </c>
      <c r="B20" s="5" t="n">
        <f aca="false">B14*Supuestos!$B$21</f>
        <v>3.99</v>
      </c>
      <c r="C20" s="5" t="n">
        <f aca="false">C14*Supuestos!$B$21</f>
        <v>7.98</v>
      </c>
      <c r="D20" s="5" t="n">
        <f aca="false">D14*Supuestos!$B$21</f>
        <v>11.97</v>
      </c>
      <c r="E20" s="5" t="n">
        <f aca="false">E14*Supuestos!$B$21</f>
        <v>15.96</v>
      </c>
      <c r="F20" s="5" t="n">
        <f aca="false">F14*Supuestos!$B$21</f>
        <v>19.95</v>
      </c>
      <c r="G20" s="5" t="n">
        <f aca="false">G14*Supuestos!$B$21</f>
        <v>23.94</v>
      </c>
      <c r="H20" s="5" t="n">
        <f aca="false">H14*Supuestos!$B$21</f>
        <v>27.93</v>
      </c>
      <c r="I20" s="5" t="n">
        <f aca="false">I14*Supuestos!$B$21</f>
        <v>31.92</v>
      </c>
      <c r="J20" s="5" t="n">
        <f aca="false">J14*Supuestos!$B$21</f>
        <v>39.9</v>
      </c>
      <c r="K20" s="5" t="n">
        <f aca="false">K14*Supuestos!$B$21</f>
        <v>47.88</v>
      </c>
      <c r="L20" s="5" t="n">
        <f aca="false">L14*Supuestos!$B$21</f>
        <v>55.86</v>
      </c>
      <c r="M20" s="5" t="n">
        <f aca="false">M14*Supuestos!$B$21</f>
        <v>63.84</v>
      </c>
      <c r="N20" s="5" t="n">
        <f aca="false">SUM(B20:M20)</f>
        <v>351.12</v>
      </c>
    </row>
    <row r="21" customFormat="false" ht="15" hidden="false" customHeight="false" outlineLevel="0" collapsed="false">
      <c r="A21" s="6" t="s">
        <v>85</v>
      </c>
      <c r="B21" s="13" t="n">
        <f aca="false">SUM(B17:B20)</f>
        <v>78.77</v>
      </c>
      <c r="C21" s="13" t="n">
        <f aca="false">SUM(C17:C20)</f>
        <v>162.74</v>
      </c>
      <c r="D21" s="13" t="n">
        <f aca="false">SUM(D17:D20)</f>
        <v>251.22</v>
      </c>
      <c r="E21" s="13" t="n">
        <f aca="false">SUM(E17:E20)</f>
        <v>334.4</v>
      </c>
      <c r="F21" s="13" t="n">
        <f aca="false">SUM(F17:F20)</f>
        <v>433.28</v>
      </c>
      <c r="G21" s="13" t="n">
        <f aca="false">SUM(G17:G20)</f>
        <v>547.86</v>
      </c>
      <c r="H21" s="13" t="n">
        <f aca="false">SUM(H17:H20)</f>
        <v>678.83</v>
      </c>
      <c r="I21" s="13" t="n">
        <f aca="false">SUM(I17:I20)</f>
        <v>825.5</v>
      </c>
      <c r="J21" s="13" t="n">
        <f aca="false">SUM(J17:J20)</f>
        <v>997.06</v>
      </c>
      <c r="K21" s="13" t="n">
        <f aca="false">SUM(K17:K20)</f>
        <v>1184.32</v>
      </c>
      <c r="L21" s="13" t="n">
        <f aca="false">SUM(L17:L20)</f>
        <v>1397.78</v>
      </c>
      <c r="M21" s="13" t="n">
        <f aca="false">SUM(M17:M20)</f>
        <v>1637.34</v>
      </c>
      <c r="N21" s="13" t="n">
        <f aca="false">SUM(N17:N20)</f>
        <v>8529.1</v>
      </c>
    </row>
    <row r="23" customFormat="false" ht="15" hidden="false" customHeight="false" outlineLevel="0" collapsed="false">
      <c r="A23" s="14" t="s">
        <v>86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customFormat="false" ht="15" hidden="false" customHeight="false" outlineLevel="0" collapsed="false">
      <c r="A24" s="0" t="s">
        <v>87</v>
      </c>
      <c r="B24" s="0" t="n">
        <f aca="false">B12+B13+B14</f>
        <v>11</v>
      </c>
      <c r="C24" s="0" t="n">
        <f aca="false">C12+C13+C14</f>
        <v>23</v>
      </c>
      <c r="D24" s="0" t="n">
        <f aca="false">D12+D13+D14</f>
        <v>35</v>
      </c>
      <c r="E24" s="0" t="n">
        <f aca="false">E12+E13+E14</f>
        <v>47</v>
      </c>
      <c r="F24" s="0" t="n">
        <f aca="false">F12+F13+F14</f>
        <v>61</v>
      </c>
      <c r="G24" s="0" t="n">
        <f aca="false">G12+G13+G14</f>
        <v>77</v>
      </c>
      <c r="H24" s="0" t="n">
        <f aca="false">H12+H13+H14</f>
        <v>96</v>
      </c>
      <c r="I24" s="0" t="n">
        <f aca="false">I12+I13+I14</f>
        <v>117</v>
      </c>
      <c r="J24" s="0" t="n">
        <f aca="false">J12+J13+J14</f>
        <v>142</v>
      </c>
      <c r="K24" s="0" t="n">
        <f aca="false">K12+K13+K14</f>
        <v>169</v>
      </c>
      <c r="L24" s="0" t="n">
        <f aca="false">L12+L13+L14</f>
        <v>199</v>
      </c>
      <c r="M24" s="0" t="n">
        <f aca="false">M12+M13+M14</f>
        <v>233</v>
      </c>
      <c r="N24" s="0" t="n">
        <f aca="false">SUM(B24:M24)</f>
        <v>1210</v>
      </c>
    </row>
    <row r="25" customFormat="false" ht="15" hidden="false" customHeight="false" outlineLevel="0" collapsed="false">
      <c r="A25" s="0" t="s">
        <v>88</v>
      </c>
      <c r="B25" s="5" t="n">
        <f aca="false">B21*Supuestos!$B$13</f>
        <v>2.28433</v>
      </c>
      <c r="C25" s="5" t="n">
        <f aca="false">C21*Supuestos!$B$13</f>
        <v>4.71946</v>
      </c>
      <c r="D25" s="5" t="n">
        <f aca="false">D21*Supuestos!$B$13</f>
        <v>7.28538</v>
      </c>
      <c r="E25" s="5" t="n">
        <f aca="false">E21*Supuestos!$B$13</f>
        <v>9.6976</v>
      </c>
      <c r="F25" s="5" t="n">
        <f aca="false">F21*Supuestos!$B$13</f>
        <v>12.56512</v>
      </c>
      <c r="G25" s="5" t="n">
        <f aca="false">G21*Supuestos!$B$13</f>
        <v>15.88794</v>
      </c>
      <c r="H25" s="5" t="n">
        <f aca="false">H21*Supuestos!$B$13</f>
        <v>19.68607</v>
      </c>
      <c r="I25" s="5" t="n">
        <f aca="false">I21*Supuestos!$B$13</f>
        <v>23.9395</v>
      </c>
      <c r="J25" s="5" t="n">
        <f aca="false">J21*Supuestos!$B$13</f>
        <v>28.91474</v>
      </c>
      <c r="K25" s="5" t="n">
        <f aca="false">K21*Supuestos!$B$13</f>
        <v>34.34528</v>
      </c>
      <c r="L25" s="5" t="n">
        <f aca="false">L21*Supuestos!$B$13</f>
        <v>40.53562</v>
      </c>
      <c r="M25" s="5" t="n">
        <f aca="false">M21*Supuestos!$B$13</f>
        <v>47.48286</v>
      </c>
      <c r="N25" s="5" t="n">
        <f aca="false">SUM(B25:M25)</f>
        <v>247.3439</v>
      </c>
    </row>
    <row r="26" customFormat="false" ht="15" hidden="false" customHeight="false" outlineLevel="0" collapsed="false">
      <c r="A26" s="0" t="s">
        <v>89</v>
      </c>
      <c r="B26" s="5" t="n">
        <f aca="false">B24*Supuestos!$B$14</f>
        <v>3.3</v>
      </c>
      <c r="C26" s="5" t="n">
        <f aca="false">C24*Supuestos!$B$14</f>
        <v>6.9</v>
      </c>
      <c r="D26" s="5" t="n">
        <f aca="false">D24*Supuestos!$B$14</f>
        <v>10.5</v>
      </c>
      <c r="E26" s="5" t="n">
        <f aca="false">E24*Supuestos!$B$14</f>
        <v>14.1</v>
      </c>
      <c r="F26" s="5" t="n">
        <f aca="false">F24*Supuestos!$B$14</f>
        <v>18.3</v>
      </c>
      <c r="G26" s="5" t="n">
        <f aca="false">G24*Supuestos!$B$14</f>
        <v>23.1</v>
      </c>
      <c r="H26" s="5" t="n">
        <f aca="false">H24*Supuestos!$B$14</f>
        <v>28.8</v>
      </c>
      <c r="I26" s="5" t="n">
        <f aca="false">I24*Supuestos!$B$14</f>
        <v>35.1</v>
      </c>
      <c r="J26" s="5" t="n">
        <f aca="false">J24*Supuestos!$B$14</f>
        <v>42.6</v>
      </c>
      <c r="K26" s="5" t="n">
        <f aca="false">K24*Supuestos!$B$14</f>
        <v>50.7</v>
      </c>
      <c r="L26" s="5" t="n">
        <f aca="false">L24*Supuestos!$B$14</f>
        <v>59.7</v>
      </c>
      <c r="M26" s="5" t="n">
        <f aca="false">M24*Supuestos!$B$14</f>
        <v>69.9</v>
      </c>
      <c r="N26" s="5" t="n">
        <f aca="false">SUM(B26:M26)</f>
        <v>363</v>
      </c>
    </row>
    <row r="27" customFormat="false" ht="15" hidden="false" customHeight="false" outlineLevel="0" collapsed="false">
      <c r="A27" s="6" t="s">
        <v>90</v>
      </c>
      <c r="B27" s="15" t="n">
        <f aca="false">B25+B26</f>
        <v>5.58433</v>
      </c>
      <c r="C27" s="15" t="n">
        <f aca="false">C25+C26</f>
        <v>11.61946</v>
      </c>
      <c r="D27" s="15" t="n">
        <f aca="false">D25+D26</f>
        <v>17.78538</v>
      </c>
      <c r="E27" s="15" t="n">
        <f aca="false">E25+E26</f>
        <v>23.7976</v>
      </c>
      <c r="F27" s="15" t="n">
        <f aca="false">F25+F26</f>
        <v>30.86512</v>
      </c>
      <c r="G27" s="15" t="n">
        <f aca="false">G25+G26</f>
        <v>38.98794</v>
      </c>
      <c r="H27" s="15" t="n">
        <f aca="false">H25+H26</f>
        <v>48.48607</v>
      </c>
      <c r="I27" s="15" t="n">
        <f aca="false">I25+I26</f>
        <v>59.0395</v>
      </c>
      <c r="J27" s="15" t="n">
        <f aca="false">J25+J26</f>
        <v>71.51474</v>
      </c>
      <c r="K27" s="15" t="n">
        <f aca="false">K25+K26</f>
        <v>85.04528</v>
      </c>
      <c r="L27" s="15" t="n">
        <f aca="false">L25+L26</f>
        <v>100.23562</v>
      </c>
      <c r="M27" s="15" t="n">
        <f aca="false">M25+M26</f>
        <v>117.38286</v>
      </c>
      <c r="N27" s="15" t="n">
        <f aca="false">N25+N26</f>
        <v>610.3439</v>
      </c>
    </row>
    <row r="29" customFormat="false" ht="15" hidden="false" customHeight="false" outlineLevel="0" collapsed="false">
      <c r="A29" s="6" t="s">
        <v>91</v>
      </c>
      <c r="B29" s="7" t="n">
        <f aca="false">B21-B27</f>
        <v>73.18567</v>
      </c>
      <c r="C29" s="7" t="n">
        <f aca="false">C21-C27</f>
        <v>151.12054</v>
      </c>
      <c r="D29" s="7" t="n">
        <f aca="false">D21-D27</f>
        <v>233.43462</v>
      </c>
      <c r="E29" s="7" t="n">
        <f aca="false">E21-E27</f>
        <v>310.6024</v>
      </c>
      <c r="F29" s="7" t="n">
        <f aca="false">F21-F27</f>
        <v>402.41488</v>
      </c>
      <c r="G29" s="7" t="n">
        <f aca="false">G21-G27</f>
        <v>508.87206</v>
      </c>
      <c r="H29" s="7" t="n">
        <f aca="false">H21-H27</f>
        <v>630.34393</v>
      </c>
      <c r="I29" s="7" t="n">
        <f aca="false">I21-I27</f>
        <v>766.4605</v>
      </c>
      <c r="J29" s="7" t="n">
        <f aca="false">J21-J27</f>
        <v>925.54526</v>
      </c>
      <c r="K29" s="7" t="n">
        <f aca="false">K21-K27</f>
        <v>1099.27472</v>
      </c>
      <c r="L29" s="7" t="n">
        <f aca="false">L21-L27</f>
        <v>1297.54438</v>
      </c>
      <c r="M29" s="7" t="n">
        <f aca="false">M21-M27</f>
        <v>1519.95714</v>
      </c>
      <c r="N29" s="7" t="n">
        <f aca="false">N21-N27</f>
        <v>7918.7561</v>
      </c>
    </row>
    <row r="31" customFormat="false" ht="15" hidden="false" customHeight="false" outlineLevel="0" collapsed="false">
      <c r="A31" s="16" t="s">
        <v>92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customFormat="false" ht="15" hidden="false" customHeight="false" outlineLevel="0" collapsed="false">
      <c r="A32" s="0" t="s">
        <v>6</v>
      </c>
      <c r="B32" s="5" t="n">
        <f aca="false">Supuestos!$C$6</f>
        <v>7</v>
      </c>
      <c r="C32" s="5" t="n">
        <f aca="false">Supuestos!$C$6</f>
        <v>7</v>
      </c>
      <c r="D32" s="5" t="n">
        <f aca="false">Supuestos!$C$6</f>
        <v>7</v>
      </c>
      <c r="E32" s="5" t="n">
        <f aca="false">Supuestos!$C$6</f>
        <v>7</v>
      </c>
      <c r="F32" s="5" t="n">
        <f aca="false">Supuestos!$C$6</f>
        <v>7</v>
      </c>
      <c r="G32" s="5" t="n">
        <f aca="false">Supuestos!$C$6</f>
        <v>7</v>
      </c>
      <c r="H32" s="5" t="n">
        <f aca="false">Supuestos!$C$6</f>
        <v>7</v>
      </c>
      <c r="I32" s="5" t="n">
        <f aca="false">Supuestos!$C$6</f>
        <v>7</v>
      </c>
      <c r="J32" s="5" t="n">
        <f aca="false">Supuestos!$C$6</f>
        <v>7</v>
      </c>
      <c r="K32" s="5" t="n">
        <f aca="false">Supuestos!$C$6</f>
        <v>7</v>
      </c>
      <c r="L32" s="5" t="n">
        <f aca="false">Supuestos!$C$6</f>
        <v>7</v>
      </c>
      <c r="M32" s="5" t="n">
        <f aca="false">Supuestos!$C$6</f>
        <v>7</v>
      </c>
      <c r="N32" s="5" t="n">
        <f aca="false">SUM(B32:M32)</f>
        <v>84</v>
      </c>
    </row>
    <row r="33" customFormat="false" ht="15" hidden="false" customHeight="false" outlineLevel="0" collapsed="false">
      <c r="A33" s="0" t="s">
        <v>93</v>
      </c>
      <c r="B33" s="5" t="n">
        <f aca="false">Supuestos!$C$7</f>
        <v>5</v>
      </c>
      <c r="C33" s="5" t="n">
        <f aca="false">Supuestos!$C$7</f>
        <v>5</v>
      </c>
      <c r="D33" s="5" t="n">
        <f aca="false">Supuestos!$C$7</f>
        <v>5</v>
      </c>
      <c r="E33" s="5" t="n">
        <f aca="false">Supuestos!$C$7</f>
        <v>5</v>
      </c>
      <c r="F33" s="5" t="n">
        <f aca="false">Supuestos!$C$7</f>
        <v>5</v>
      </c>
      <c r="G33" s="5" t="n">
        <f aca="false">Supuestos!$C$7</f>
        <v>5</v>
      </c>
      <c r="H33" s="5" t="n">
        <f aca="false">Supuestos!$C$7</f>
        <v>5</v>
      </c>
      <c r="I33" s="5" t="n">
        <f aca="false">Supuestos!$C$7</f>
        <v>5</v>
      </c>
      <c r="J33" s="5" t="n">
        <f aca="false">Supuestos!$C$7</f>
        <v>5</v>
      </c>
      <c r="K33" s="5" t="n">
        <f aca="false">Supuestos!$C$7</f>
        <v>5</v>
      </c>
      <c r="L33" s="5" t="n">
        <f aca="false">Supuestos!$C$7</f>
        <v>5</v>
      </c>
      <c r="M33" s="5" t="n">
        <f aca="false">Supuestos!$C$7</f>
        <v>5</v>
      </c>
      <c r="N33" s="5" t="n">
        <f aca="false">SUM(B33:M33)</f>
        <v>60</v>
      </c>
    </row>
    <row r="34" customFormat="false" ht="15" hidden="false" customHeight="false" outlineLevel="0" collapsed="false">
      <c r="A34" s="0" t="s">
        <v>10</v>
      </c>
      <c r="B34" s="5" t="n">
        <f aca="false">Supuestos!$C$8</f>
        <v>0</v>
      </c>
      <c r="C34" s="5" t="n">
        <f aca="false">Supuestos!$C$8</f>
        <v>0</v>
      </c>
      <c r="D34" s="5" t="n">
        <f aca="false">Supuestos!$C$8</f>
        <v>0</v>
      </c>
      <c r="E34" s="5" t="n">
        <f aca="false">Supuestos!$C$8</f>
        <v>0</v>
      </c>
      <c r="F34" s="5" t="n">
        <f aca="false">Supuestos!$C$8</f>
        <v>0</v>
      </c>
      <c r="G34" s="5" t="n">
        <f aca="false">Supuestos!$C$8</f>
        <v>0</v>
      </c>
      <c r="H34" s="5" t="n">
        <f aca="false">Supuestos!$C$8</f>
        <v>0</v>
      </c>
      <c r="I34" s="5" t="n">
        <f aca="false">Supuestos!$C$8</f>
        <v>0</v>
      </c>
      <c r="J34" s="5" t="n">
        <f aca="false">Supuestos!$C$8</f>
        <v>0</v>
      </c>
      <c r="K34" s="5" t="n">
        <f aca="false">Supuestos!$C$8</f>
        <v>0</v>
      </c>
      <c r="L34" s="5" t="n">
        <f aca="false">Supuestos!$C$8</f>
        <v>0</v>
      </c>
      <c r="M34" s="5" t="n">
        <f aca="false">Supuestos!$C$8</f>
        <v>0</v>
      </c>
      <c r="N34" s="5" t="n">
        <f aca="false">SUM(B34:M34)</f>
        <v>0</v>
      </c>
    </row>
    <row r="35" customFormat="false" ht="15" hidden="false" customHeight="false" outlineLevel="0" collapsed="false">
      <c r="A35" s="0" t="s">
        <v>12</v>
      </c>
      <c r="B35" s="5" t="n">
        <f aca="false">Supuestos!$C$9</f>
        <v>1</v>
      </c>
      <c r="C35" s="5" t="n">
        <f aca="false">Supuestos!$C$9</f>
        <v>1</v>
      </c>
      <c r="D35" s="5" t="n">
        <f aca="false">Supuestos!$C$9</f>
        <v>1</v>
      </c>
      <c r="E35" s="5" t="n">
        <f aca="false">Supuestos!$C$9</f>
        <v>1</v>
      </c>
      <c r="F35" s="5" t="n">
        <f aca="false">Supuestos!$C$9</f>
        <v>1</v>
      </c>
      <c r="G35" s="5" t="n">
        <f aca="false">Supuestos!$C$9</f>
        <v>1</v>
      </c>
      <c r="H35" s="5" t="n">
        <f aca="false">Supuestos!$C$9</f>
        <v>1</v>
      </c>
      <c r="I35" s="5" t="n">
        <f aca="false">Supuestos!$C$9</f>
        <v>1</v>
      </c>
      <c r="J35" s="5" t="n">
        <f aca="false">Supuestos!$C$9</f>
        <v>1</v>
      </c>
      <c r="K35" s="5" t="n">
        <f aca="false">Supuestos!$C$9</f>
        <v>1</v>
      </c>
      <c r="L35" s="5" t="n">
        <f aca="false">Supuestos!$C$9</f>
        <v>1</v>
      </c>
      <c r="M35" s="5" t="n">
        <f aca="false">Supuestos!$C$9</f>
        <v>1</v>
      </c>
      <c r="N35" s="5" t="n">
        <f aca="false">SUM(B35:M35)</f>
        <v>12</v>
      </c>
    </row>
    <row r="36" customFormat="false" ht="15" hidden="false" customHeight="false" outlineLevel="0" collapsed="false">
      <c r="A36" s="6" t="s">
        <v>14</v>
      </c>
      <c r="B36" s="17" t="n">
        <f aca="false">SUM(B32:B35)</f>
        <v>13</v>
      </c>
      <c r="C36" s="17" t="n">
        <f aca="false">SUM(C32:C35)</f>
        <v>13</v>
      </c>
      <c r="D36" s="17" t="n">
        <f aca="false">SUM(D32:D35)</f>
        <v>13</v>
      </c>
      <c r="E36" s="17" t="n">
        <f aca="false">SUM(E32:E35)</f>
        <v>13</v>
      </c>
      <c r="F36" s="17" t="n">
        <f aca="false">SUM(F32:F35)</f>
        <v>13</v>
      </c>
      <c r="G36" s="17" t="n">
        <f aca="false">SUM(G32:G35)</f>
        <v>13</v>
      </c>
      <c r="H36" s="17" t="n">
        <f aca="false">SUM(H32:H35)</f>
        <v>13</v>
      </c>
      <c r="I36" s="17" t="n">
        <f aca="false">SUM(I32:I35)</f>
        <v>13</v>
      </c>
      <c r="J36" s="17" t="n">
        <f aca="false">SUM(J32:J35)</f>
        <v>13</v>
      </c>
      <c r="K36" s="17" t="n">
        <f aca="false">SUM(K32:K35)</f>
        <v>13</v>
      </c>
      <c r="L36" s="17" t="n">
        <f aca="false">SUM(L32:L35)</f>
        <v>13</v>
      </c>
      <c r="M36" s="17" t="n">
        <f aca="false">SUM(M32:M35)</f>
        <v>13</v>
      </c>
      <c r="N36" s="17" t="n">
        <f aca="false">SUM(N32:N35)</f>
        <v>156</v>
      </c>
    </row>
    <row r="38" customFormat="false" ht="15" hidden="false" customHeight="false" outlineLevel="0" collapsed="false">
      <c r="A38" s="18" t="s">
        <v>94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customFormat="false" ht="15" hidden="false" customHeight="false" outlineLevel="0" collapsed="false">
      <c r="A39" s="6" t="s">
        <v>95</v>
      </c>
      <c r="B39" s="19" t="n">
        <f aca="false">B29-B36</f>
        <v>60.18567</v>
      </c>
      <c r="C39" s="19" t="n">
        <f aca="false">C29-C36</f>
        <v>138.12054</v>
      </c>
      <c r="D39" s="19" t="n">
        <f aca="false">D29-D36</f>
        <v>220.43462</v>
      </c>
      <c r="E39" s="19" t="n">
        <f aca="false">E29-E36</f>
        <v>297.6024</v>
      </c>
      <c r="F39" s="19" t="n">
        <f aca="false">F29-F36</f>
        <v>389.41488</v>
      </c>
      <c r="G39" s="19" t="n">
        <f aca="false">G29-G36</f>
        <v>495.87206</v>
      </c>
      <c r="H39" s="19" t="n">
        <f aca="false">H29-H36</f>
        <v>617.34393</v>
      </c>
      <c r="I39" s="19" t="n">
        <f aca="false">I29-I36</f>
        <v>753.4605</v>
      </c>
      <c r="J39" s="19" t="n">
        <f aca="false">J29-J36</f>
        <v>912.54526</v>
      </c>
      <c r="K39" s="19" t="n">
        <f aca="false">K29-K36</f>
        <v>1086.27472</v>
      </c>
      <c r="L39" s="19" t="n">
        <f aca="false">L29-L36</f>
        <v>1284.54438</v>
      </c>
      <c r="M39" s="19" t="n">
        <f aca="false">M29-M36</f>
        <v>1506.95714</v>
      </c>
      <c r="N39" s="19" t="n">
        <f aca="false">N29-N36</f>
        <v>7762.7561</v>
      </c>
    </row>
    <row r="40" customFormat="false" ht="15" hidden="false" customHeight="false" outlineLevel="0" collapsed="false">
      <c r="A40" s="0" t="s">
        <v>96</v>
      </c>
      <c r="B40" s="8" t="n">
        <f aca="false">IF(B21&gt;0,B39/B21,0)</f>
        <v>0.764068427066142</v>
      </c>
      <c r="C40" s="8" t="n">
        <f aca="false">IF(C21&gt;0,C39/C21,0)</f>
        <v>0.848719061079022</v>
      </c>
      <c r="D40" s="8" t="n">
        <f aca="false">IF(D21&gt;0,D39/D21,0)</f>
        <v>0.877456492317491</v>
      </c>
      <c r="E40" s="8" t="n">
        <f aca="false">IF(E21&gt;0,E39/E21,0)</f>
        <v>0.889959330143541</v>
      </c>
      <c r="F40" s="8" t="n">
        <f aca="false">IF(F21&gt;0,F39/F21,0)</f>
        <v>0.898760339734121</v>
      </c>
      <c r="G40" s="8" t="n">
        <f aca="false">IF(G21&gt;0,G39/G21,0)</f>
        <v>0.905107253677947</v>
      </c>
      <c r="H40" s="8" t="n">
        <f aca="false">IF(H21&gt;0,H39/H21,0)</f>
        <v>0.909423463901124</v>
      </c>
      <c r="I40" s="8" t="n">
        <f aca="false">IF(I21&gt;0,I39/I21,0)</f>
        <v>0.912732283464567</v>
      </c>
      <c r="J40" s="8" t="n">
        <f aca="false">IF(J21&gt;0,J39/J21,0)</f>
        <v>0.915236053998756</v>
      </c>
      <c r="K40" s="8" t="n">
        <f aca="false">IF(K21&gt;0,K39/K21,0)</f>
        <v>0.917213861118617</v>
      </c>
      <c r="L40" s="8" t="n">
        <f aca="false">IF(L21&gt;0,L39/L21,0)</f>
        <v>0.918988953912633</v>
      </c>
      <c r="M40" s="8" t="n">
        <f aca="false">IF(M21&gt;0,M39/M21,0)</f>
        <v>0.920369098660022</v>
      </c>
      <c r="N40" s="8" t="n">
        <f aca="false">IF(N21&gt;0,N39/N21,0)</f>
        <v>0.91014949994724</v>
      </c>
    </row>
    <row r="42" customFormat="false" ht="15" hidden="false" customHeight="false" outlineLevel="0" collapsed="false">
      <c r="A42" s="20" t="s">
        <v>97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 customFormat="false" ht="15" hidden="false" customHeight="false" outlineLevel="0" collapsed="false">
      <c r="A43" s="0" t="s">
        <v>98</v>
      </c>
      <c r="B43" s="5" t="n">
        <v>90</v>
      </c>
      <c r="C43" s="5" t="n">
        <v>200</v>
      </c>
      <c r="D43" s="5" t="n">
        <v>230</v>
      </c>
      <c r="E43" s="5" t="n">
        <v>200</v>
      </c>
      <c r="F43" s="5" t="n">
        <v>200</v>
      </c>
      <c r="G43" s="5" t="n">
        <v>250</v>
      </c>
      <c r="H43" s="5" t="n">
        <v>250</v>
      </c>
      <c r="I43" s="5" t="n">
        <v>300</v>
      </c>
      <c r="J43" s="5" t="n">
        <v>300</v>
      </c>
      <c r="K43" s="5" t="n">
        <v>350</v>
      </c>
      <c r="L43" s="5" t="n">
        <v>350</v>
      </c>
      <c r="M43" s="5" t="n">
        <v>400</v>
      </c>
      <c r="N43" s="5" t="n">
        <f aca="false">SUM(B43:M43)</f>
        <v>3120</v>
      </c>
    </row>
    <row r="44" customFormat="false" ht="15" hidden="false" customHeight="false" outlineLevel="0" collapsed="false">
      <c r="A44" s="0" t="s">
        <v>99</v>
      </c>
      <c r="B44" s="5" t="n">
        <v>0</v>
      </c>
      <c r="C44" s="5" t="n">
        <v>15</v>
      </c>
      <c r="D44" s="5" t="n">
        <v>15</v>
      </c>
      <c r="E44" s="5" t="n">
        <v>15</v>
      </c>
      <c r="F44" s="5" t="n">
        <v>20</v>
      </c>
      <c r="G44" s="5" t="n">
        <v>20</v>
      </c>
      <c r="H44" s="5" t="n">
        <v>20</v>
      </c>
      <c r="I44" s="5" t="n">
        <v>25</v>
      </c>
      <c r="J44" s="5" t="n">
        <v>25</v>
      </c>
      <c r="K44" s="5" t="n">
        <v>25</v>
      </c>
      <c r="L44" s="5" t="n">
        <v>30</v>
      </c>
      <c r="M44" s="5" t="n">
        <v>30</v>
      </c>
      <c r="N44" s="5" t="n">
        <f aca="false">SUM(B44:M44)</f>
        <v>240</v>
      </c>
    </row>
    <row r="45" customFormat="false" ht="15" hidden="false" customHeight="false" outlineLevel="0" collapsed="false">
      <c r="A45" s="6" t="s">
        <v>100</v>
      </c>
      <c r="B45" s="21" t="n">
        <f aca="false">SUM(B43:B44)</f>
        <v>90</v>
      </c>
      <c r="C45" s="21" t="n">
        <f aca="false">SUM(C43:C44)</f>
        <v>215</v>
      </c>
      <c r="D45" s="21" t="n">
        <f aca="false">SUM(D43:D44)</f>
        <v>245</v>
      </c>
      <c r="E45" s="21" t="n">
        <f aca="false">SUM(E43:E44)</f>
        <v>215</v>
      </c>
      <c r="F45" s="21" t="n">
        <f aca="false">SUM(F43:F44)</f>
        <v>220</v>
      </c>
      <c r="G45" s="21" t="n">
        <f aca="false">SUM(G43:G44)</f>
        <v>270</v>
      </c>
      <c r="H45" s="21" t="n">
        <f aca="false">SUM(H43:H44)</f>
        <v>270</v>
      </c>
      <c r="I45" s="21" t="n">
        <f aca="false">SUM(I43:I44)</f>
        <v>325</v>
      </c>
      <c r="J45" s="21" t="n">
        <f aca="false">SUM(J43:J44)</f>
        <v>325</v>
      </c>
      <c r="K45" s="21" t="n">
        <f aca="false">SUM(K43:K44)</f>
        <v>375</v>
      </c>
      <c r="L45" s="21" t="n">
        <f aca="false">SUM(L43:L44)</f>
        <v>380</v>
      </c>
      <c r="M45" s="21" t="n">
        <f aca="false">SUM(M43:M44)</f>
        <v>430</v>
      </c>
      <c r="N45" s="21" t="n">
        <f aca="false">SUM(N43:N44)</f>
        <v>3360</v>
      </c>
    </row>
    <row r="47" customFormat="false" ht="17.35" hidden="false" customHeight="false" outlineLevel="0" collapsed="false">
      <c r="A47" s="22" t="s">
        <v>101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</row>
    <row r="48" customFormat="false" ht="15" hidden="false" customHeight="false" outlineLevel="0" collapsed="false">
      <c r="A48" s="3" t="s">
        <v>102</v>
      </c>
      <c r="B48" s="23" t="n">
        <f aca="false">B39-B45</f>
        <v>-29.81433</v>
      </c>
      <c r="C48" s="23" t="n">
        <f aca="false">C39-C45</f>
        <v>-76.87946</v>
      </c>
      <c r="D48" s="23" t="n">
        <f aca="false">D39-D45</f>
        <v>-24.56538</v>
      </c>
      <c r="E48" s="23" t="n">
        <f aca="false">E39-E45</f>
        <v>82.6024</v>
      </c>
      <c r="F48" s="23" t="n">
        <f aca="false">F39-F45</f>
        <v>169.41488</v>
      </c>
      <c r="G48" s="23" t="n">
        <f aca="false">G39-G45</f>
        <v>225.87206</v>
      </c>
      <c r="H48" s="23" t="n">
        <f aca="false">H39-H45</f>
        <v>347.34393</v>
      </c>
      <c r="I48" s="23" t="n">
        <f aca="false">I39-I45</f>
        <v>428.4605</v>
      </c>
      <c r="J48" s="23" t="n">
        <f aca="false">J39-J45</f>
        <v>587.54526</v>
      </c>
      <c r="K48" s="23" t="n">
        <f aca="false">K39-K45</f>
        <v>711.27472</v>
      </c>
      <c r="L48" s="23" t="n">
        <f aca="false">L39-L45</f>
        <v>904.54438</v>
      </c>
      <c r="M48" s="23" t="n">
        <f aca="false">M39-M45</f>
        <v>1076.95714</v>
      </c>
      <c r="N48" s="23" t="n">
        <f aca="false">N39-N45</f>
        <v>4402.7561</v>
      </c>
    </row>
    <row r="49" customFormat="false" ht="15" hidden="false" customHeight="false" outlineLevel="0" collapsed="false">
      <c r="A49" s="0" t="s">
        <v>103</v>
      </c>
      <c r="B49" s="8" t="n">
        <f aca="false">IF(B21&gt;0,B48/B21,0)</f>
        <v>-0.37849854005332</v>
      </c>
      <c r="C49" s="8" t="n">
        <f aca="false">IF(C21&gt;0,C48/C21,0)</f>
        <v>-0.472406660931547</v>
      </c>
      <c r="D49" s="8" t="n">
        <f aca="false">IF(D21&gt;0,D48/D21,0)</f>
        <v>-0.0977843324576069</v>
      </c>
      <c r="E49" s="8" t="n">
        <f aca="false">IF(E21&gt;0,E48/E21,0)</f>
        <v>0.247016746411483</v>
      </c>
      <c r="F49" s="8" t="n">
        <f aca="false">IF(F21&gt;0,F48/F21,0)</f>
        <v>0.391005539143279</v>
      </c>
      <c r="G49" s="8" t="n">
        <f aca="false">IF(G21&gt;0,G48/G21,0)</f>
        <v>0.412280619136276</v>
      </c>
      <c r="H49" s="8" t="n">
        <f aca="false">IF(H21&gt;0,H48/H21,0)</f>
        <v>0.511680288142834</v>
      </c>
      <c r="I49" s="8" t="n">
        <f aca="false">IF(I21&gt;0,I48/I21,0)</f>
        <v>0.519031496062992</v>
      </c>
      <c r="J49" s="8" t="n">
        <f aca="false">IF(J21&gt;0,J48/J21,0)</f>
        <v>0.589277736545444</v>
      </c>
      <c r="K49" s="8" t="n">
        <f aca="false">IF(K21&gt;0,K48/K21,0)</f>
        <v>0.600576465820049</v>
      </c>
      <c r="L49" s="8" t="n">
        <f aca="false">IF(L21&gt;0,L48/L21,0)</f>
        <v>0.647129290732447</v>
      </c>
      <c r="M49" s="8" t="n">
        <f aca="false">IF(M21&gt;0,M48/M21,0)</f>
        <v>0.657748018126962</v>
      </c>
      <c r="N49" s="8" t="n">
        <f aca="false">IF(N21&gt;0,N48/N21,0)</f>
        <v>0.516204066079657</v>
      </c>
    </row>
    <row r="51" customFormat="false" ht="15" hidden="false" customHeight="false" outlineLevel="0" collapsed="false">
      <c r="A51" s="6" t="s">
        <v>104</v>
      </c>
      <c r="B51" s="5" t="n">
        <f aca="false">B48</f>
        <v>-29.81433</v>
      </c>
      <c r="C51" s="5" t="n">
        <f aca="false">C48+B51</f>
        <v>-106.69379</v>
      </c>
      <c r="D51" s="5" t="n">
        <f aca="false">D48+C51</f>
        <v>-131.25917</v>
      </c>
      <c r="E51" s="5" t="n">
        <f aca="false">E48+D51</f>
        <v>-48.6567700000001</v>
      </c>
      <c r="F51" s="5" t="n">
        <f aca="false">F48+E51</f>
        <v>120.75811</v>
      </c>
      <c r="G51" s="5" t="n">
        <f aca="false">G48+F51</f>
        <v>346.63017</v>
      </c>
      <c r="H51" s="5" t="n">
        <f aca="false">H48+G51</f>
        <v>693.9741</v>
      </c>
      <c r="I51" s="5" t="n">
        <f aca="false">I48+H51</f>
        <v>1122.4346</v>
      </c>
      <c r="J51" s="5" t="n">
        <f aca="false">J48+I51</f>
        <v>1709.97986</v>
      </c>
      <c r="K51" s="5" t="n">
        <f aca="false">K48+J51</f>
        <v>2421.25458</v>
      </c>
      <c r="L51" s="5" t="n">
        <f aca="false">L48+K51</f>
        <v>3325.79896</v>
      </c>
      <c r="M51" s="5" t="n">
        <f aca="false">M48+L51</f>
        <v>4402.7561</v>
      </c>
      <c r="N51" s="23" t="n">
        <f aca="false">M51</f>
        <v>4402.7561</v>
      </c>
    </row>
    <row r="54" customFormat="false" ht="15" hidden="false" customHeight="false" outlineLevel="0" collapsed="false">
      <c r="A54" s="0" t="s">
        <v>106</v>
      </c>
      <c r="B54" s="7" t="n">
        <f aca="false">M17+M18</f>
        <v>1453.7</v>
      </c>
    </row>
  </sheetData>
  <mergeCells count="8">
    <mergeCell ref="A1:N1"/>
    <mergeCell ref="A5:N5"/>
    <mergeCell ref="A16:N16"/>
    <mergeCell ref="A23:N23"/>
    <mergeCell ref="A31:N31"/>
    <mergeCell ref="A38:N38"/>
    <mergeCell ref="A42:N42"/>
    <mergeCell ref="A47:N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10" t="s">
        <v>109</v>
      </c>
      <c r="B1" s="10"/>
      <c r="C1" s="10"/>
      <c r="D1" s="10"/>
    </row>
    <row r="3" customFormat="false" ht="15" hidden="false" customHeight="false" outlineLevel="0" collapsed="false">
      <c r="A3" s="4" t="s">
        <v>110</v>
      </c>
      <c r="B3" s="4" t="s">
        <v>31</v>
      </c>
      <c r="C3" s="4" t="s">
        <v>32</v>
      </c>
      <c r="D3" s="4" t="s">
        <v>111</v>
      </c>
    </row>
    <row r="4" customFormat="false" ht="15" hidden="false" customHeight="false" outlineLevel="0" collapsed="false">
      <c r="A4" s="0" t="s">
        <v>112</v>
      </c>
      <c r="B4" s="5" t="n">
        <f aca="false">'PL Base (Conservador)'!N21</f>
        <v>3571.79</v>
      </c>
      <c r="C4" s="5" t="n">
        <f aca="false">'PL Optimista'!N21</f>
        <v>8529.1</v>
      </c>
      <c r="D4" s="5" t="n">
        <f aca="false">C4-B4</f>
        <v>4957.31</v>
      </c>
    </row>
    <row r="5" customFormat="false" ht="15" hidden="false" customHeight="false" outlineLevel="0" collapsed="false">
      <c r="A5" s="0" t="s">
        <v>113</v>
      </c>
      <c r="B5" s="5" t="n">
        <f aca="false">'PL Base (Conservador)'!N27</f>
        <v>253.58191</v>
      </c>
      <c r="C5" s="5" t="n">
        <f aca="false">'PL Optimista'!N27</f>
        <v>610.3439</v>
      </c>
      <c r="D5" s="5" t="n">
        <f aca="false">C5-B5</f>
        <v>356.76199</v>
      </c>
    </row>
    <row r="6" customFormat="false" ht="15" hidden="false" customHeight="false" outlineLevel="0" collapsed="false">
      <c r="A6" s="0" t="s">
        <v>114</v>
      </c>
      <c r="B6" s="5" t="n">
        <f aca="false">'PL Base (Conservador)'!N36</f>
        <v>156</v>
      </c>
      <c r="C6" s="5" t="n">
        <f aca="false">'PL Optimista'!N36</f>
        <v>156</v>
      </c>
      <c r="D6" s="5" t="n">
        <f aca="false">C6-B6</f>
        <v>0</v>
      </c>
    </row>
    <row r="7" customFormat="false" ht="15" hidden="false" customHeight="false" outlineLevel="0" collapsed="false">
      <c r="A7" s="0" t="s">
        <v>115</v>
      </c>
      <c r="B7" s="5" t="n">
        <f aca="false">'PL Base (Conservador)'!N39</f>
        <v>3162.20809</v>
      </c>
      <c r="C7" s="5" t="n">
        <f aca="false">'PL Optimista'!N39</f>
        <v>7762.7561</v>
      </c>
      <c r="D7" s="5" t="n">
        <f aca="false">C7-B7</f>
        <v>4600.54801</v>
      </c>
    </row>
    <row r="8" customFormat="false" ht="15" hidden="false" customHeight="false" outlineLevel="0" collapsed="false">
      <c r="A8" s="0" t="s">
        <v>116</v>
      </c>
      <c r="B8" s="5" t="n">
        <f aca="false">'PL Base (Conservador)'!N43</f>
        <v>1575</v>
      </c>
      <c r="C8" s="5" t="n">
        <f aca="false">'PL Optimista'!N43</f>
        <v>3120</v>
      </c>
      <c r="D8" s="5" t="n">
        <f aca="false">C8-B8</f>
        <v>1545</v>
      </c>
    </row>
    <row r="9" customFormat="false" ht="15" hidden="false" customHeight="false" outlineLevel="0" collapsed="false">
      <c r="A9" s="0" t="s">
        <v>99</v>
      </c>
      <c r="B9" s="5" t="n">
        <f aca="false">'PL Base (Conservador)'!N44</f>
        <v>160</v>
      </c>
      <c r="C9" s="5" t="n">
        <f aca="false">'PL Optimista'!N44</f>
        <v>240</v>
      </c>
      <c r="D9" s="5" t="n">
        <f aca="false">C9-B9</f>
        <v>80</v>
      </c>
    </row>
    <row r="10" customFormat="false" ht="15" hidden="false" customHeight="false" outlineLevel="0" collapsed="false">
      <c r="A10" s="0" t="s">
        <v>117</v>
      </c>
      <c r="B10" s="5" t="n">
        <f aca="false">'PL Base (Conservador)'!N45</f>
        <v>1735</v>
      </c>
      <c r="C10" s="5" t="n">
        <f aca="false">'PL Optimista'!N45</f>
        <v>3360</v>
      </c>
      <c r="D10" s="5" t="n">
        <f aca="false">C10-B10</f>
        <v>1625</v>
      </c>
    </row>
    <row r="11" customFormat="false" ht="15" hidden="false" customHeight="false" outlineLevel="0" collapsed="false">
      <c r="A11" s="0" t="s">
        <v>118</v>
      </c>
      <c r="B11" s="5" t="n">
        <f aca="false">'PL Base (Conservador)'!N48</f>
        <v>1427.20809</v>
      </c>
      <c r="C11" s="5" t="n">
        <f aca="false">'PL Optimista'!N48</f>
        <v>4402.7561</v>
      </c>
      <c r="D11" s="5" t="n">
        <f aca="false">C11-B11</f>
        <v>2975.54801</v>
      </c>
    </row>
    <row r="13" customFormat="false" ht="15" hidden="false" customHeight="false" outlineLevel="0" collapsed="false">
      <c r="A13" s="0" t="s">
        <v>119</v>
      </c>
      <c r="B13" s="5" t="n">
        <f aca="false">'PL Base (Conservador)'!B54</f>
        <v>570</v>
      </c>
      <c r="C13" s="5" t="n">
        <f aca="false">'PL Optimista'!B54</f>
        <v>1453.7</v>
      </c>
      <c r="D13" s="5" t="n">
        <f aca="false">C13-B13</f>
        <v>883.7</v>
      </c>
    </row>
    <row r="14" customFormat="false" ht="15" hidden="false" customHeight="false" outlineLevel="0" collapsed="false">
      <c r="A14" s="0" t="s">
        <v>120</v>
      </c>
      <c r="B14" s="5" t="n">
        <f aca="false">B13*12</f>
        <v>6840</v>
      </c>
      <c r="C14" s="5" t="n">
        <f aca="false">C13*12</f>
        <v>17444.4</v>
      </c>
      <c r="D14" s="5" t="n">
        <f aca="false">C14-B14</f>
        <v>10604.4</v>
      </c>
    </row>
    <row r="15" customFormat="false" ht="15" hidden="false" customHeight="false" outlineLevel="0" collapsed="false">
      <c r="A15" s="0" t="s">
        <v>121</v>
      </c>
      <c r="B15" s="0" t="n">
        <f aca="false">'PL Base (Conservador)'!M12</f>
        <v>77</v>
      </c>
      <c r="C15" s="0" t="n">
        <f aca="false">'PL Optimista'!M12</f>
        <v>197</v>
      </c>
      <c r="D15" s="0" t="n">
        <f aca="false">C15-B15</f>
        <v>120</v>
      </c>
    </row>
    <row r="17" customFormat="false" ht="15" hidden="false" customHeight="false" outlineLevel="0" collapsed="false">
      <c r="A17" s="0" t="s">
        <v>96</v>
      </c>
      <c r="B17" s="8" t="n">
        <f aca="false">'PL Base (Conservador)'!N39/'PL Base (Conservador)'!N21</f>
        <v>0.885328669938602</v>
      </c>
      <c r="C17" s="8" t="n">
        <f aca="false">'PL Optimista'!N39/'PL Optimista'!N21</f>
        <v>0.91014949994724</v>
      </c>
      <c r="D17" s="8" t="n">
        <f aca="false">C17-B17</f>
        <v>0.0248208300086372</v>
      </c>
    </row>
    <row r="18" customFormat="false" ht="15" hidden="false" customHeight="false" outlineLevel="0" collapsed="false">
      <c r="A18" s="0" t="s">
        <v>103</v>
      </c>
      <c r="B18" s="8" t="n">
        <f aca="false">'PL Base (Conservador)'!N48/'PL Base (Conservador)'!N21</f>
        <v>0.399577827923814</v>
      </c>
      <c r="C18" s="8" t="n">
        <f aca="false">'PL Optimista'!N48/'PL Optimista'!N21</f>
        <v>0.516204066079657</v>
      </c>
      <c r="D18" s="8" t="n">
        <f aca="false">C18-B18</f>
        <v>0.116626238155843</v>
      </c>
    </row>
    <row r="22" customFormat="false" ht="15" hidden="false" customHeight="false" outlineLevel="0" collapsed="false">
      <c r="A22" s="3" t="s">
        <v>122</v>
      </c>
    </row>
    <row r="23" customFormat="false" ht="15" hidden="false" customHeight="false" outlineLevel="0" collapsed="false">
      <c r="A23" s="0" t="s">
        <v>123</v>
      </c>
    </row>
    <row r="24" customFormat="false" ht="15" hidden="false" customHeight="false" outlineLevel="0" collapsed="false">
      <c r="A24" s="0" t="s">
        <v>124</v>
      </c>
    </row>
    <row r="25" customFormat="false" ht="15" hidden="false" customHeight="false" outlineLevel="0" collapsed="false">
      <c r="A25" s="0" t="s">
        <v>125</v>
      </c>
    </row>
    <row r="26" customFormat="false" ht="15" hidden="false" customHeight="false" outlineLevel="0" collapsed="false">
      <c r="A26" s="0" t="s">
        <v>126</v>
      </c>
    </row>
    <row r="27" customFormat="false" ht="15" hidden="false" customHeight="false" outlineLevel="0" collapsed="false">
      <c r="A27" s="0" t="s">
        <v>127</v>
      </c>
    </row>
    <row r="28" customFormat="false" ht="15" hidden="false" customHeight="false" outlineLevel="0" collapsed="false">
      <c r="A28" s="0" t="s">
        <v>128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2026-02-15T20:43:07Z</dcterms:created>
  <dc:creator>openpyxl</dc:creator>
  <dc:description/>
  <dc:language>en-US</dc:language>
  <cp:lastModifiedBy/>
  <dcterms:modified xsi:type="dcterms:W3CDTF">2026-02-15T20:43:07Z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